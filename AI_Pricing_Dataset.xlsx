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Ringkasan_Engine" sheetId="2" state="visible" r:id="rId2"/>
    <sheet xmlns:r="http://schemas.openxmlformats.org/officeDocument/2006/relationships" name="Rate_Card_Modul" sheetId="3" state="visible" r:id="rId3"/>
    <sheet xmlns:r="http://schemas.openxmlformats.org/officeDocument/2006/relationships" name="Integrasi_Hardware" sheetId="4" state="visible" r:id="rId4"/>
    <sheet xmlns:r="http://schemas.openxmlformats.org/officeDocument/2006/relationships" name="Platform_Multiplier" sheetId="5" state="visible" r:id="rId5"/>
    <sheet xmlns:r="http://schemas.openxmlformats.org/officeDocument/2006/relationships" name="Segmentasi_Aturan_Bisnis" sheetId="6" state="visible" r:id="rId6"/>
    <sheet xmlns:r="http://schemas.openxmlformats.org/officeDocument/2006/relationships" name="AI_Training_Corpus" sheetId="7" state="visible" r:id="rId7"/>
    <sheet xmlns:r="http://schemas.openxmlformats.org/officeDocument/2006/relationships" name="Simulasi_Kalkulato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p &quot;#,##0"/>
    <numFmt numFmtId="165" formatCode="0.0%"/>
  </numFmts>
  <fonts count="10">
    <font>
      <name val="Calibri"/>
      <family val="2"/>
      <color theme="1"/>
      <sz val="11"/>
      <scheme val="minor"/>
    </font>
    <font>
      <name val="Segoe UI"/>
      <b val="1"/>
      <color rgb="001E3A8A"/>
      <sz val="15"/>
    </font>
    <font>
      <name val="Segoe UI"/>
      <i val="1"/>
      <color rgb="00475569"/>
      <sz val="10"/>
    </font>
    <font>
      <name val="Segoe UI"/>
      <b val="1"/>
      <color rgb="00FFFFFF"/>
      <sz val="11"/>
    </font>
    <font>
      <name val="Segoe UI"/>
      <b val="1"/>
      <color rgb="001E293B"/>
      <sz val="10"/>
    </font>
    <font>
      <name val="Segoe UI"/>
      <color rgb="001E293B"/>
      <sz val="10"/>
    </font>
    <font>
      <name val="Segoe UI"/>
      <b val="1"/>
      <color rgb="000F766E"/>
      <sz val="10"/>
    </font>
    <font>
      <name val="Segoe UI"/>
      <b val="1"/>
      <color rgb="000F766E"/>
      <sz val="11"/>
    </font>
    <font>
      <name val="Segoe UI"/>
      <i val="1"/>
      <color rgb="0064748B"/>
      <sz val="9"/>
    </font>
    <font>
      <name val="Segoe UI"/>
      <b val="1"/>
      <color rgb="001E3A8A"/>
      <sz val="11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2563EB"/>
        <bgColor rgb="002563EB"/>
      </patternFill>
    </fill>
    <fill>
      <patternFill patternType="solid">
        <fgColor rgb="00FEF3C7"/>
        <bgColor rgb="00FEF3C7"/>
      </patternFill>
    </fill>
    <fill>
      <patternFill patternType="solid">
        <fgColor rgb="00EFF6FF"/>
        <bgColor rgb="00EFF6FF"/>
      </patternFill>
    </fill>
    <fill>
      <patternFill patternType="solid">
        <fgColor rgb="00DBEAFE"/>
        <bgColor rgb="00DBEAFE"/>
      </patternFill>
    </fill>
  </fills>
  <borders count="7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medium">
        <color rgb="001E3A8A"/>
      </top>
      <bottom style="medium">
        <color rgb="001E3A8A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  <diagonal/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E2E8F0"/>
      </bottom>
      <diagonal/>
    </border>
    <border>
      <top style="thin">
        <color rgb="001E3A8A"/>
      </top>
      <bottom style="double">
        <color rgb="001E3A8A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4" fillId="3" borderId="2" applyAlignment="1" pivotButton="0" quotePrefix="0" xfId="0">
      <alignment vertical="center"/>
    </xf>
    <xf numFmtId="0" fontId="5" fillId="3" borderId="2" applyAlignment="1" pivotButton="0" quotePrefix="0" xfId="0">
      <alignment vertical="center"/>
    </xf>
    <xf numFmtId="0" fontId="4" fillId="0" borderId="2" applyAlignment="1" pivotButton="0" quotePrefix="0" xfId="0">
      <alignment horizontal="center" vertical="center"/>
    </xf>
    <xf numFmtId="164" fontId="6" fillId="0" borderId="2" applyAlignment="1" pivotButton="0" quotePrefix="0" xfId="0">
      <alignment horizontal="right" vertical="center"/>
    </xf>
    <xf numFmtId="0" fontId="5" fillId="0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164" fontId="6" fillId="3" borderId="2" applyAlignment="1" pivotButton="0" quotePrefix="0" xfId="0">
      <alignment horizontal="right" vertical="center"/>
    </xf>
    <xf numFmtId="0" fontId="5" fillId="3" borderId="2" applyAlignment="1" pivotButton="0" quotePrefix="0" xfId="0">
      <alignment horizontal="center" vertical="center"/>
    </xf>
    <xf numFmtId="2" fontId="6" fillId="0" borderId="2" applyAlignment="1" pivotButton="0" quotePrefix="0" xfId="0">
      <alignment horizontal="right" vertical="center"/>
    </xf>
    <xf numFmtId="2" fontId="6" fillId="3" borderId="2" applyAlignment="1" pivotButton="0" quotePrefix="0" xfId="0">
      <alignment horizontal="right" vertical="center"/>
    </xf>
    <xf numFmtId="165" fontId="6" fillId="0" borderId="2" applyAlignment="1" pivotButton="0" quotePrefix="0" xfId="0">
      <alignment horizontal="right" vertical="center"/>
    </xf>
    <xf numFmtId="165" fontId="6" fillId="3" borderId="2" applyAlignment="1" pivotButton="0" quotePrefix="0" xfId="0">
      <alignment horizontal="right" vertical="center"/>
    </xf>
    <xf numFmtId="0" fontId="4" fillId="0" borderId="0" pivotButton="0" quotePrefix="0" xfId="0"/>
    <xf numFmtId="0" fontId="3" fillId="4" borderId="1" applyAlignment="1" pivotButton="0" quotePrefix="0" xfId="0">
      <alignment horizontal="center" vertical="center"/>
    </xf>
    <xf numFmtId="0" fontId="5" fillId="5" borderId="2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164" fontId="0" fillId="0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right" vertical="center"/>
    </xf>
    <xf numFmtId="0" fontId="0" fillId="6" borderId="5" pivotButton="0" quotePrefix="0" xfId="0"/>
    <xf numFmtId="0" fontId="0" fillId="6" borderId="3" pivotButton="0" quotePrefix="0" xfId="0"/>
    <xf numFmtId="0" fontId="0" fillId="6" borderId="0" pivotButton="0" quotePrefix="0" xfId="0"/>
    <xf numFmtId="164" fontId="7" fillId="6" borderId="2" applyAlignment="1" pivotButton="0" quotePrefix="0" xfId="0">
      <alignment horizontal="right" vertical="center"/>
    </xf>
    <xf numFmtId="0" fontId="8" fillId="6" borderId="2" applyAlignment="1" pivotButton="0" quotePrefix="0" xfId="0">
      <alignment vertical="center"/>
    </xf>
    <xf numFmtId="0" fontId="4" fillId="7" borderId="2" applyAlignment="1" pivotButton="0" quotePrefix="0" xfId="0">
      <alignment horizontal="right" vertical="center"/>
    </xf>
    <xf numFmtId="0" fontId="0" fillId="7" borderId="5" pivotButton="0" quotePrefix="0" xfId="0"/>
    <xf numFmtId="0" fontId="0" fillId="7" borderId="3" pivotButton="0" quotePrefix="0" xfId="0"/>
    <xf numFmtId="0" fontId="0" fillId="7" borderId="0" pivotButton="0" quotePrefix="0" xfId="0"/>
    <xf numFmtId="164" fontId="9" fillId="7" borderId="6" applyAlignment="1" pivotButton="0" quotePrefix="0" xfId="0">
      <alignment horizontal="right" vertical="center"/>
    </xf>
    <xf numFmtId="0" fontId="8" fillId="7" borderId="2" applyAlignment="1" pivotButton="0" quotePrefix="0" xfId="0">
      <alignment vertical="center"/>
    </xf>
    <xf numFmtId="164" fontId="7" fillId="7" borderId="2" applyAlignment="1" pivotButton="0" quotePrefix="0" xfId="0">
      <alignment horizontal="right" vertical="center"/>
    </xf>
    <xf numFmtId="164" fontId="7" fillId="7" borderId="6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38" customWidth="1" min="2" max="2"/>
    <col width="50" customWidth="1" min="3" max="3"/>
  </cols>
  <sheetData>
    <row r="1">
      <c r="A1" s="1" t="inlineStr">
        <is>
          <t>WIRODEV MASTER PRICING ENGINE - AI TRAINING &amp; ESTIMATION SYSTEM</t>
        </is>
      </c>
    </row>
    <row r="2">
      <c r="A2" s="2" t="inlineStr">
        <is>
          <t>Standar Operasional Prosedur (SOP) &amp; Matriks Penentuan Harga Software House Wirodayan Digital</t>
        </is>
      </c>
    </row>
    <row r="3"/>
    <row r="4">
      <c r="A4" s="3" t="inlineStr">
        <is>
          <t>Parameter Utama</t>
        </is>
      </c>
      <c r="B4" s="4" t="inlineStr">
        <is>
          <t>Nilai Acuan Internal</t>
        </is>
      </c>
      <c r="C4" s="4" t="inlineStr">
        <is>
          <t>Keterangan Strategis</t>
        </is>
      </c>
    </row>
    <row r="5">
      <c r="A5" s="5" t="inlineStr">
        <is>
          <t>Satuan Kerja (Man-Day Rate)</t>
        </is>
      </c>
      <c r="B5" s="6" t="inlineStr">
        <is>
          <t>Rp 300.000 - Rp 500.000 / hari</t>
        </is>
      </c>
      <c r="C5" s="6" t="inlineStr">
        <is>
          <t>Valuasi 1 hari kerja efektif developer (6-8 jam kerja)</t>
        </is>
      </c>
    </row>
    <row r="6">
      <c r="A6" s="7" t="inlineStr">
        <is>
          <t>Floor Price (UMKM / Compro)</t>
        </is>
      </c>
      <c r="B6" s="8" t="inlineStr">
        <is>
          <t>Rp 1.200.000</t>
        </is>
      </c>
      <c r="C6" s="8" t="inlineStr">
        <is>
          <t>Nilai minimum kontrak untuk proyek level UMKM / Company Profile</t>
        </is>
      </c>
    </row>
    <row r="7">
      <c r="A7" s="5" t="inlineStr">
        <is>
          <t>Floor Price (Sekolah / PT)</t>
        </is>
      </c>
      <c r="B7" s="6" t="inlineStr">
        <is>
          <t>Rp 2.500.000</t>
        </is>
      </c>
      <c r="C7" s="6" t="inlineStr">
        <is>
          <t>Nilai minimum kontrak untuk institusi pendidikan / PT swasta</t>
        </is>
      </c>
    </row>
    <row r="8">
      <c r="A8" s="7" t="inlineStr">
        <is>
          <t>Floor Price (BUMN / Tender)</t>
        </is>
      </c>
      <c r="B8" s="8" t="inlineStr">
        <is>
          <t>Rp 4.000.000</t>
        </is>
      </c>
      <c r="C8" s="8" t="inlineStr">
        <is>
          <t>Nilai minimum kontrak untuk BUMN / Instansi / Tender formal</t>
        </is>
      </c>
    </row>
    <row r="9">
      <c r="A9" s="5" t="inlineStr">
        <is>
          <t>Hak Kepemilikan (Source Code &amp; DB)</t>
        </is>
      </c>
      <c r="B9" s="6" t="inlineStr">
        <is>
          <t>100% Full Ownership (Beli Putus)</t>
        </is>
      </c>
      <c r="C9" s="6" t="inlineStr">
        <is>
          <t>Seluruh aset kode &amp; database diserahkan penuh pasca pelunasan</t>
        </is>
      </c>
    </row>
    <row r="10">
      <c r="A10" s="7" t="inlineStr">
        <is>
          <t>Garansi Bug Bawaan</t>
        </is>
      </c>
      <c r="B10" s="8" t="inlineStr">
        <is>
          <t>30 Hari Kalender</t>
        </is>
      </c>
      <c r="C10" s="8" t="inlineStr">
        <is>
          <t>Dihitung sejak Go-Live / Berita Acara Serah Terima</t>
        </is>
      </c>
    </row>
    <row r="11">
      <c r="A11" s="5" t="inlineStr">
        <is>
          <t>Skema DP Proyek &lt; Rp 5.000.000</t>
        </is>
      </c>
      <c r="B11" s="6" t="inlineStr">
        <is>
          <t>30% Dimuka</t>
        </is>
      </c>
      <c r="C11" s="6" t="inlineStr">
        <is>
          <t>Pelunasan 70% di akhir (atau bertahap di tengah)</t>
        </is>
      </c>
    </row>
    <row r="12">
      <c r="A12" s="7" t="inlineStr">
        <is>
          <t>Skema DP Proyek &gt;= Rp 5.000.000</t>
        </is>
      </c>
      <c r="B12" s="8" t="inlineStr">
        <is>
          <t>20% Dimuka</t>
        </is>
      </c>
      <c r="C12" s="8" t="inlineStr">
        <is>
          <t>Pelunasan 80% bertahap / di akhir</t>
        </is>
      </c>
    </row>
    <row r="13">
      <c r="A13" s="5" t="inlineStr">
        <is>
          <t>Ketepatan Brief (Diskon)</t>
        </is>
      </c>
      <c r="B13" s="6" t="inlineStr">
        <is>
          <t>5% - 10%</t>
        </is>
      </c>
      <c r="C13" s="6" t="inlineStr">
        <is>
          <t>Diberikan jika spesifikasi/wireframe klien sangat matang</t>
        </is>
      </c>
    </row>
    <row r="14">
      <c r="A14" s="7" t="inlineStr">
        <is>
          <t>Ketidakpastian Brief (Risk Buffer)</t>
        </is>
      </c>
      <c r="B14" s="8" t="inlineStr">
        <is>
          <t>+5% - +10%</t>
        </is>
      </c>
      <c r="C14" s="8" t="inlineStr">
        <is>
          <t>Ditambahkan jika deskripsi kebutuhan klien masih mentah/abstrak</t>
        </is>
      </c>
    </row>
    <row r="15">
      <c r="A15" s="5" t="inlineStr">
        <is>
          <t>Rush Fee (Percepatan Deadline)</t>
        </is>
      </c>
      <c r="B15" s="6" t="inlineStr">
        <is>
          <t>+20% - +50%</t>
        </is>
      </c>
      <c r="C15" s="6" t="inlineStr">
        <is>
          <t>Dikenakan jika deadline dipangkas 20% s/d 50% dari waktu normal</t>
        </is>
      </c>
    </row>
    <row r="16">
      <c r="A16" s="7" t="inlineStr">
        <is>
          <t>Maintenance Retainer Baseline</t>
        </is>
      </c>
      <c r="B16" s="8" t="inlineStr">
        <is>
          <t>Mulai Rp 200.000 / bulan</t>
        </is>
      </c>
      <c r="C16" s="8" t="inlineStr">
        <is>
          <t>Untuk sistem internal &lt; 50 user aktif tanpa transaksi finansial</t>
        </is>
      </c>
    </row>
    <row r="17">
      <c r="A17" s="5" t="inlineStr">
        <is>
          <t>Domain &amp; Hosting</t>
        </is>
      </c>
      <c r="B17" s="6" t="inlineStr">
        <is>
          <t>Sesuai Vendor (At-Cost)</t>
        </is>
      </c>
      <c r="C17" s="6" t="inlineStr">
        <is>
          <t>Acuan Dewaweb (.com ~Rp195rb/th, hosting ~Rp35rb/bln). Setup GRATIS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65" customWidth="1" min="4" max="4"/>
    <col width="18" customWidth="1" min="5" max="5"/>
    <col width="18" customWidth="1" min="6" max="6"/>
    <col width="24" customWidth="1" min="7" max="7"/>
    <col width="16" customWidth="1" min="8" max="8"/>
    <col width="16" customWidth="1" min="9" max="9"/>
  </cols>
  <sheetData>
    <row r="1">
      <c r="A1" s="1" t="inlineStr">
        <is>
          <t>RATE CARD MODUL &amp; FITUR STANDAR (CORE ENGINE)</t>
        </is>
      </c>
    </row>
    <row r="2">
      <c r="A2" s="2" t="inlineStr">
        <is>
          <t>Katalog harga per modul untuk estimasi modular dan dataset pencocokan AI</t>
        </is>
      </c>
    </row>
    <row r="3"/>
    <row r="4">
      <c r="A4" s="4" t="inlineStr">
        <is>
          <t>Kode Modul</t>
        </is>
      </c>
      <c r="B4" s="4" t="inlineStr">
        <is>
          <t>Kategori</t>
        </is>
      </c>
      <c r="C4" s="4" t="inlineStr">
        <is>
          <t>Nama Fitur / Modul</t>
        </is>
      </c>
      <c r="D4" s="4" t="inlineStr">
        <is>
          <t>Deskripsi &amp; Cakupan Teknis</t>
        </is>
      </c>
      <c r="E4" s="4" t="inlineStr">
        <is>
          <t>Harga Min (IDR)</t>
        </is>
      </c>
      <c r="F4" s="4" t="inlineStr">
        <is>
          <t>Harga Max (IDR)</t>
        </is>
      </c>
      <c r="G4" s="4" t="inlineStr">
        <is>
          <t>Harga Rekomendasi (IDR)</t>
        </is>
      </c>
      <c r="H4" s="4" t="inlineStr">
        <is>
          <t>Satuan</t>
        </is>
      </c>
      <c r="I4" s="4" t="inlineStr">
        <is>
          <t>Kompleksitas</t>
        </is>
      </c>
    </row>
    <row r="5">
      <c r="A5" s="9" t="inlineStr">
        <is>
          <t>MOD-01</t>
        </is>
      </c>
      <c r="B5" s="6" t="inlineStr">
        <is>
          <t>Core CRUD</t>
        </is>
      </c>
      <c r="C5" s="6" t="inlineStr">
        <is>
          <t>Modul CRUD Standar Tunggal</t>
        </is>
      </c>
      <c r="D5" s="6" t="inlineStr">
        <is>
          <t>Form input, list view, detail, edit, soft delete master data (Master Pelanggan, Kategori, Supplier)</t>
        </is>
      </c>
      <c r="E5" s="10" t="n">
        <v>200000</v>
      </c>
      <c r="F5" s="10" t="n">
        <v>300000</v>
      </c>
      <c r="G5" s="10" t="n">
        <v>250000</v>
      </c>
      <c r="H5" s="11" t="inlineStr">
        <is>
          <t>Per Entitas</t>
        </is>
      </c>
      <c r="I5" s="11" t="inlineStr">
        <is>
          <t>Rendah</t>
        </is>
      </c>
    </row>
    <row r="6">
      <c r="A6" s="12" t="inlineStr">
        <is>
          <t>MOD-02</t>
        </is>
      </c>
      <c r="B6" s="8" t="inlineStr">
        <is>
          <t>Relasional</t>
        </is>
      </c>
      <c r="C6" s="8" t="inlineStr">
        <is>
          <t>Modul Data Relasional / Multi-Level</t>
        </is>
      </c>
      <c r="D6" s="8" t="inlineStr">
        <is>
          <t>Relasi Parent-Child bertingkat (Order + Item detail, RAB 3-level, Struktur Organisasi)</t>
        </is>
      </c>
      <c r="E6" s="13" t="n">
        <v>800000</v>
      </c>
      <c r="F6" s="13" t="n">
        <v>1000000</v>
      </c>
      <c r="G6" s="13" t="n">
        <v>900000</v>
      </c>
      <c r="H6" s="14" t="inlineStr">
        <is>
          <t>Per Modul</t>
        </is>
      </c>
      <c r="I6" s="14" t="inlineStr">
        <is>
          <t>Sedang</t>
        </is>
      </c>
    </row>
    <row r="7">
      <c r="A7" s="9" t="inlineStr">
        <is>
          <t>MOD-03</t>
        </is>
      </c>
      <c r="B7" s="6" t="inlineStr">
        <is>
          <t>Workflow</t>
        </is>
      </c>
      <c r="C7" s="6" t="inlineStr">
        <is>
          <t>Modul State Machine &amp; Approval</t>
        </is>
      </c>
      <c r="D7" s="6" t="inlineStr">
        <is>
          <t>Alur status berjenjang (Draft -&gt; Review -&gt; Approved -&gt; Rejected), auto-lock data setelah disetujui</t>
        </is>
      </c>
      <c r="E7" s="10" t="n">
        <v>1000000</v>
      </c>
      <c r="F7" s="10" t="n">
        <v>1200000</v>
      </c>
      <c r="G7" s="10" t="n">
        <v>1100000</v>
      </c>
      <c r="H7" s="11" t="inlineStr">
        <is>
          <t>Per Workflow</t>
        </is>
      </c>
      <c r="I7" s="11" t="inlineStr">
        <is>
          <t>Tinggi</t>
        </is>
      </c>
    </row>
    <row r="8">
      <c r="A8" s="12" t="inlineStr">
        <is>
          <t>MOD-04</t>
        </is>
      </c>
      <c r="B8" s="8" t="inlineStr">
        <is>
          <t>Finansial</t>
        </is>
      </c>
      <c r="C8" s="8" t="inlineStr">
        <is>
          <t>Kalkulasi Finansial &amp; Cashflow</t>
        </is>
      </c>
      <c r="D8" s="8" t="inlineStr">
        <is>
          <t>Running balance otomatis, rekonsiliasi kas fisik vs sistem, multi-rekening kas/bank, selisih kas</t>
        </is>
      </c>
      <c r="E8" s="13" t="n">
        <v>2000000</v>
      </c>
      <c r="F8" s="13" t="n">
        <v>4000000</v>
      </c>
      <c r="G8" s="13" t="n">
        <v>2500000</v>
      </c>
      <c r="H8" s="14" t="inlineStr">
        <is>
          <t>Per Paket</t>
        </is>
      </c>
      <c r="I8" s="14" t="inlineStr">
        <is>
          <t>Sangat Tinggi</t>
        </is>
      </c>
    </row>
    <row r="9">
      <c r="A9" s="9" t="inlineStr">
        <is>
          <t>MOD-05</t>
        </is>
      </c>
      <c r="B9" s="6" t="inlineStr">
        <is>
          <t>Finansial</t>
        </is>
      </c>
      <c r="C9" s="6" t="inlineStr">
        <is>
          <t>Laba Rugi Sederhana</t>
        </is>
      </c>
      <c r="D9" s="6" t="inlineStr">
        <is>
          <t>Kalkulasi otomatis Omset - HPP - Biaya Operasional = Laba Bersih</t>
        </is>
      </c>
      <c r="E9" s="10" t="n">
        <v>500000</v>
      </c>
      <c r="F9" s="10" t="n">
        <v>800000</v>
      </c>
      <c r="G9" s="10" t="n">
        <v>600000</v>
      </c>
      <c r="H9" s="11" t="inlineStr">
        <is>
          <t>Per Modul</t>
        </is>
      </c>
      <c r="I9" s="11" t="inlineStr">
        <is>
          <t>Sedang</t>
        </is>
      </c>
    </row>
    <row r="10">
      <c r="A10" s="12" t="inlineStr">
        <is>
          <t>AUTH-01</t>
        </is>
      </c>
      <c r="B10" s="8" t="inlineStr">
        <is>
          <t>Security</t>
        </is>
      </c>
      <c r="C10" s="8" t="inlineStr">
        <is>
          <t>Single Login / Static Role (3 Level)</t>
        </is>
      </c>
      <c r="D10" s="8" t="inlineStr">
        <is>
          <t>Login/Logout multi-user dengan hak akses terhardcode (Owner 100%, Manager operasional, Staff input only)</t>
        </is>
      </c>
      <c r="E10" s="13" t="n">
        <v>600000</v>
      </c>
      <c r="F10" s="13" t="n">
        <v>600000</v>
      </c>
      <c r="G10" s="13" t="n">
        <v>600000</v>
      </c>
      <c r="H10" s="14" t="inlineStr">
        <is>
          <t>Per Sistem</t>
        </is>
      </c>
      <c r="I10" s="14" t="inlineStr">
        <is>
          <t>Sedang</t>
        </is>
      </c>
    </row>
    <row r="11">
      <c r="A11" s="9" t="inlineStr">
        <is>
          <t>AUTH-02</t>
        </is>
      </c>
      <c r="B11" s="6" t="inlineStr">
        <is>
          <t>Security</t>
        </is>
      </c>
      <c r="C11" s="6" t="inlineStr">
        <is>
          <t>Dynamic Granular RBAC</t>
        </is>
      </c>
      <c r="D11" s="6" t="inlineStr">
        <is>
          <t>UI Khusus untuk manajemen Role &amp; Centang matriks izin CRUD per menu/fitur secara dinamis</t>
        </is>
      </c>
      <c r="E11" s="10" t="n">
        <v>1000000</v>
      </c>
      <c r="F11" s="10" t="n">
        <v>1000000</v>
      </c>
      <c r="G11" s="10" t="n">
        <v>1000000</v>
      </c>
      <c r="H11" s="11" t="inlineStr">
        <is>
          <t>Per Sistem</t>
        </is>
      </c>
      <c r="I11" s="11" t="inlineStr">
        <is>
          <t>Tinggi</t>
        </is>
      </c>
    </row>
    <row r="12">
      <c r="A12" s="12" t="inlineStr">
        <is>
          <t>UI-01</t>
        </is>
      </c>
      <c r="B12" s="8" t="inlineStr">
        <is>
          <t>Tampilan</t>
        </is>
      </c>
      <c r="C12" s="8" t="inlineStr">
        <is>
          <t>Tabel Web Data Standar</t>
        </is>
      </c>
      <c r="D12" s="8" t="inlineStr">
        <is>
          <t>Tampilan tabel data interaktif dengan pagination, sorting, search filter dasar (tanpa ekspor)</t>
        </is>
      </c>
      <c r="E12" s="13" t="n">
        <v>200000</v>
      </c>
      <c r="F12" s="13" t="n">
        <v>200000</v>
      </c>
      <c r="G12" s="13" t="n">
        <v>200000</v>
      </c>
      <c r="H12" s="14" t="inlineStr">
        <is>
          <t>Per Tabel</t>
        </is>
      </c>
      <c r="I12" s="14" t="inlineStr">
        <is>
          <t>Rendah</t>
        </is>
      </c>
    </row>
    <row r="13">
      <c r="A13" s="9" t="inlineStr">
        <is>
          <t>EXP-01</t>
        </is>
      </c>
      <c r="B13" s="6" t="inlineStr">
        <is>
          <t>Reporting</t>
        </is>
      </c>
      <c r="C13" s="6" t="inlineStr">
        <is>
          <t>Export CSV Dasar</t>
        </is>
      </c>
      <c r="D13" s="6" t="inlineStr">
        <is>
          <t>Ekspor data mentah format .csv ringan tanpa styling</t>
        </is>
      </c>
      <c r="E13" s="10" t="n">
        <v>350000</v>
      </c>
      <c r="F13" s="10" t="n">
        <v>350000</v>
      </c>
      <c r="G13" s="10" t="n">
        <v>350000</v>
      </c>
      <c r="H13" s="11" t="inlineStr">
        <is>
          <t>Per Laporan</t>
        </is>
      </c>
      <c r="I13" s="11" t="inlineStr">
        <is>
          <t>Rendah</t>
        </is>
      </c>
    </row>
    <row r="14">
      <c r="A14" s="12" t="inlineStr">
        <is>
          <t>EXP-02</t>
        </is>
      </c>
      <c r="B14" s="8" t="inlineStr">
        <is>
          <t>Reporting</t>
        </is>
      </c>
      <c r="C14" s="8" t="inlineStr">
        <is>
          <t>Export Excel Terformat (.xlsx)</t>
        </is>
      </c>
      <c r="D14" s="8" t="inlineStr">
        <is>
          <t>Ekspor data Excel dengan header warna, border, format rupiah, dan total formula</t>
        </is>
      </c>
      <c r="E14" s="13" t="n">
        <v>650000</v>
      </c>
      <c r="F14" s="13" t="n">
        <v>650000</v>
      </c>
      <c r="G14" s="13" t="n">
        <v>650000</v>
      </c>
      <c r="H14" s="14" t="inlineStr">
        <is>
          <t>Per Laporan</t>
        </is>
      </c>
      <c r="I14" s="14" t="inlineStr">
        <is>
          <t>Sedang</t>
        </is>
      </c>
    </row>
    <row r="15">
      <c r="A15" s="9" t="inlineStr">
        <is>
          <t>EXP-03</t>
        </is>
      </c>
      <c r="B15" s="6" t="inlineStr">
        <is>
          <t>Reporting</t>
        </is>
      </c>
      <c r="C15" s="6" t="inlineStr">
        <is>
          <t>Export PDF Siap Cetak (.pdf)</t>
        </is>
      </c>
      <c r="D15" s="6" t="inlineStr">
        <is>
          <t>Ekspor PDF dengan template kop surat resmi, penataan layout A4, tabel rapi, tanda tangan</t>
        </is>
      </c>
      <c r="E15" s="10" t="n">
        <v>650000</v>
      </c>
      <c r="F15" s="10" t="n">
        <v>650000</v>
      </c>
      <c r="G15" s="10" t="n">
        <v>650000</v>
      </c>
      <c r="H15" s="11" t="inlineStr">
        <is>
          <t>Per Template</t>
        </is>
      </c>
      <c r="I15" s="11" t="inlineStr">
        <is>
          <t>Sedang</t>
        </is>
      </c>
    </row>
    <row r="16">
      <c r="A16" s="12" t="inlineStr">
        <is>
          <t>IMP-01</t>
        </is>
      </c>
      <c r="B16" s="8" t="inlineStr">
        <is>
          <t>Data Engine</t>
        </is>
      </c>
      <c r="C16" s="8" t="inlineStr">
        <is>
          <t>Import Masal Excel/CSV (Bulk Import)</t>
        </is>
      </c>
      <c r="D16" s="8" t="inlineStr">
        <is>
          <t>Upload file Excel/CSV ke database dengan validasi error per baris dan preview sebelum simpan</t>
        </is>
      </c>
      <c r="E16" s="13" t="n">
        <v>650000</v>
      </c>
      <c r="F16" s="13" t="n">
        <v>650000</v>
      </c>
      <c r="G16" s="13" t="n">
        <v>650000</v>
      </c>
      <c r="H16" s="14" t="inlineStr">
        <is>
          <t>Per Entitas</t>
        </is>
      </c>
      <c r="I16" s="14" t="inlineStr">
        <is>
          <t>Sedang</t>
        </is>
      </c>
    </row>
    <row r="17">
      <c r="A17" s="9" t="inlineStr">
        <is>
          <t>BND-01</t>
        </is>
      </c>
      <c r="B17" s="6" t="inlineStr">
        <is>
          <t>Bundling</t>
        </is>
      </c>
      <c r="C17" s="6" t="inlineStr">
        <is>
          <t>Paket Sepasang (1 Import + 1 Export)</t>
        </is>
      </c>
      <c r="D17" s="6" t="inlineStr">
        <is>
          <t>Bundling fitur import dan export untuk satu entitas modul yang sama (Diskon khusus)</t>
        </is>
      </c>
      <c r="E17" s="10" t="n">
        <v>1000000</v>
      </c>
      <c r="F17" s="10" t="n">
        <v>1000000</v>
      </c>
      <c r="G17" s="10" t="n">
        <v>1000000</v>
      </c>
      <c r="H17" s="11" t="inlineStr">
        <is>
          <t>Per Pasang</t>
        </is>
      </c>
      <c r="I17" s="11" t="inlineStr">
        <is>
          <t>Sedang</t>
        </is>
      </c>
    </row>
    <row r="18">
      <c r="A18" s="12" t="inlineStr">
        <is>
          <t>SEC-01</t>
        </is>
      </c>
      <c r="B18" s="8" t="inlineStr">
        <is>
          <t>Security</t>
        </is>
      </c>
      <c r="C18" s="8" t="inlineStr">
        <is>
          <t>Audit Log &amp; Activity Trail</t>
        </is>
      </c>
      <c r="D18" s="8" t="inlineStr">
        <is>
          <t>Pencatatan riwayat aktivitas user (siapa, kapan, aksi apa, data sebelum &amp; sesudah diubah)</t>
        </is>
      </c>
      <c r="E18" s="13" t="n">
        <v>800000</v>
      </c>
      <c r="F18" s="13" t="n">
        <v>1000000</v>
      </c>
      <c r="G18" s="13" t="n">
        <v>1000000</v>
      </c>
      <c r="H18" s="14" t="inlineStr">
        <is>
          <t>Per Sistem</t>
        </is>
      </c>
      <c r="I18" s="14" t="inlineStr">
        <is>
          <t>Sedang</t>
        </is>
      </c>
    </row>
    <row r="19">
      <c r="A19" s="9" t="inlineStr">
        <is>
          <t>BCK-01</t>
        </is>
      </c>
      <c r="B19" s="6" t="inlineStr">
        <is>
          <t>Database</t>
        </is>
      </c>
      <c r="C19" s="6" t="inlineStr">
        <is>
          <t>Tombol Download Backup DB Mandiri</t>
        </is>
      </c>
      <c r="D19" s="6" t="inlineStr">
        <is>
          <t>Tombol khusus akun Owner untuk mengunduh dump database .sql secara langsung</t>
        </is>
      </c>
      <c r="E19" s="10" t="n">
        <v>300000</v>
      </c>
      <c r="F19" s="10" t="n">
        <v>500000</v>
      </c>
      <c r="G19" s="10" t="n">
        <v>400000</v>
      </c>
      <c r="H19" s="11" t="inlineStr">
        <is>
          <t>Per Sistem</t>
        </is>
      </c>
      <c r="I19" s="11" t="inlineStr">
        <is>
          <t>Rendah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8" customWidth="1" min="3" max="3"/>
    <col width="32" customWidth="1" min="4" max="4"/>
    <col width="18" customWidth="1" min="5" max="5"/>
    <col width="18" customWidth="1" min="6" max="6"/>
    <col width="24" customWidth="1" min="7" max="7"/>
    <col width="60" customWidth="1" min="8" max="8"/>
  </cols>
  <sheetData>
    <row r="1">
      <c r="A1" s="1" t="inlineStr">
        <is>
          <t>INTEGRASI PIHAK KETIGA &amp; PERANGKAT KERAS</t>
        </is>
      </c>
    </row>
    <row r="2">
      <c r="A2" s="2" t="inlineStr">
        <is>
          <t>Katalog biaya integrasi API payment gateway, WA gateway, custom API, dan hardware</t>
        </is>
      </c>
    </row>
    <row r="3"/>
    <row r="4">
      <c r="A4" s="4" t="inlineStr">
        <is>
          <t>Kode Integrasi</t>
        </is>
      </c>
      <c r="B4" s="4" t="inlineStr">
        <is>
          <t>Kategori</t>
        </is>
      </c>
      <c r="C4" s="4" t="inlineStr">
        <is>
          <t>Layanan / Device</t>
        </is>
      </c>
      <c r="D4" s="4" t="inlineStr">
        <is>
          <t>Vendor / Contoh</t>
        </is>
      </c>
      <c r="E4" s="4" t="inlineStr">
        <is>
          <t>Biaya Min (IDR)</t>
        </is>
      </c>
      <c r="F4" s="4" t="inlineStr">
        <is>
          <t>Biaya Max (IDR)</t>
        </is>
      </c>
      <c r="G4" s="4" t="inlineStr">
        <is>
          <t>Biaya Rekomendasi (IDR)</t>
        </is>
      </c>
      <c r="H4" s="4" t="inlineStr">
        <is>
          <t>Cakupan Pekerjaan</t>
        </is>
      </c>
    </row>
    <row r="5">
      <c r="A5" s="9" t="inlineStr">
        <is>
          <t>INT-PAY-01</t>
        </is>
      </c>
      <c r="B5" s="11" t="inlineStr">
        <is>
          <t>Payment Gateway</t>
        </is>
      </c>
      <c r="C5" s="6" t="inlineStr">
        <is>
          <t>Integrasi Payment Gateway Otomatis</t>
        </is>
      </c>
      <c r="D5" s="6" t="inlineStr">
        <is>
          <t>Midtrans / Xendit / Tripay</t>
        </is>
      </c>
      <c r="E5" s="10" t="n">
        <v>2500000</v>
      </c>
      <c r="F5" s="10" t="n">
        <v>2500000</v>
      </c>
      <c r="G5" s="10" t="n">
        <v>2500000</v>
      </c>
      <c r="H5" s="6" t="inlineStr">
        <is>
          <t>Snap/Redirect Checkout, Webhook callback, auto update status pembayaran</t>
        </is>
      </c>
    </row>
    <row r="6">
      <c r="A6" s="12" t="inlineStr">
        <is>
          <t>INT-WA-01</t>
        </is>
      </c>
      <c r="B6" s="14" t="inlineStr">
        <is>
          <t>WhatsApp Gateway</t>
        </is>
      </c>
      <c r="C6" s="8" t="inlineStr">
        <is>
          <t>Notifikasi WhatsApp API Otomatis</t>
        </is>
      </c>
      <c r="D6" s="8" t="inlineStr">
        <is>
          <t>Fonnte / Wablas / Whacenter</t>
        </is>
      </c>
      <c r="E6" s="13" t="n">
        <v>600000</v>
      </c>
      <c r="F6" s="13" t="n">
        <v>1200000</v>
      </c>
      <c r="G6" s="13" t="n">
        <v>900000</v>
      </c>
      <c r="H6" s="8" t="inlineStr">
        <is>
          <t>Notifikasi transaksi otomatis, alert selisih kas, blast pesan terstruktur</t>
        </is>
      </c>
    </row>
    <row r="7">
      <c r="A7" s="9" t="inlineStr">
        <is>
          <t>INT-API-01</t>
        </is>
      </c>
      <c r="B7" s="11" t="inlineStr">
        <is>
          <t>Custom 3rd Party API</t>
        </is>
      </c>
      <c r="C7" s="6" t="inlineStr">
        <is>
          <t>Integrasi API POS / Akuntansi Eksternal</t>
        </is>
      </c>
      <c r="D7" s="6" t="inlineStr">
        <is>
          <t>Olsera / Accurate / Jurnal / Moka</t>
        </is>
      </c>
      <c r="E7" s="10" t="n">
        <v>600000</v>
      </c>
      <c r="F7" s="10" t="n">
        <v>2000000</v>
      </c>
      <c r="G7" s="10" t="n">
        <v>1500000</v>
      </c>
      <c r="H7" s="6" t="inlineStr">
        <is>
          <t>Tarik/kirim data transaksi, sinkronisasi produk &amp; omset (termasuk merapikan docs)</t>
        </is>
      </c>
    </row>
    <row r="8">
      <c r="A8" s="12" t="inlineStr">
        <is>
          <t>INT-API-02</t>
        </is>
      </c>
      <c r="B8" s="14" t="inlineStr">
        <is>
          <t>Custom Webhook / Callback</t>
        </is>
      </c>
      <c r="C8" s="8" t="inlineStr">
        <is>
          <t>Integrasi Webhook Custom Klien</t>
        </is>
      </c>
      <c r="D8" s="8" t="inlineStr">
        <is>
          <t>SIAKAD / SIM Daerah / LMS</t>
        </is>
      </c>
      <c r="E8" s="13" t="n">
        <v>800000</v>
      </c>
      <c r="F8" s="13" t="n">
        <v>1500000</v>
      </c>
      <c r="G8" s="13" t="n">
        <v>1000000</v>
      </c>
      <c r="H8" s="8" t="inlineStr">
        <is>
          <t>Menerima dan memproses payload JSON real-time dari sistem klien</t>
        </is>
      </c>
    </row>
    <row r="9">
      <c r="A9" s="9" t="inlineStr">
        <is>
          <t>INT-EML-01</t>
        </is>
      </c>
      <c r="B9" s="11" t="inlineStr">
        <is>
          <t>Email Gateway</t>
        </is>
      </c>
      <c r="C9" s="6" t="inlineStr">
        <is>
          <t>SMTP Email Transactional</t>
        </is>
      </c>
      <c r="D9" s="6" t="inlineStr">
        <is>
          <t>Mailgun / SendGrid / Google SMTP</t>
        </is>
      </c>
      <c r="E9" s="10" t="n">
        <v>300000</v>
      </c>
      <c r="F9" s="10" t="n">
        <v>500000</v>
      </c>
      <c r="G9" s="10" t="n">
        <v>400000</v>
      </c>
      <c r="H9" s="6" t="inlineStr">
        <is>
          <t>Kirim email invoice, reset password, notifikasi sistem</t>
        </is>
      </c>
    </row>
    <row r="10">
      <c r="A10" s="12" t="inlineStr">
        <is>
          <t>HDW-POS-01</t>
        </is>
      </c>
      <c r="B10" s="14" t="inlineStr">
        <is>
          <t>Hardware POS</t>
        </is>
      </c>
      <c r="C10" s="8" t="inlineStr">
        <is>
          <t>Integrasi Thermal Receipt Printer</t>
        </is>
      </c>
      <c r="D10" s="8" t="inlineStr">
        <is>
          <t>Bluetooth / USB Thermal ESC/POS (58mm/80mm)</t>
        </is>
      </c>
      <c r="E10" s="13" t="n">
        <v>1500000</v>
      </c>
      <c r="F10" s="13" t="n">
        <v>1500000</v>
      </c>
      <c r="G10" s="13" t="n">
        <v>1500000</v>
      </c>
      <c r="H10" s="8" t="inlineStr">
        <is>
          <t>Cetak struk kasir, cetak bukti mutasi via direct ESC/POS command</t>
        </is>
      </c>
    </row>
    <row r="11">
      <c r="A11" s="9" t="inlineStr">
        <is>
          <t>HDW-BIO-01</t>
        </is>
      </c>
      <c r="B11" s="11" t="inlineStr">
        <is>
          <t>Hardware Presensi</t>
        </is>
      </c>
      <c r="C11" s="6" t="inlineStr">
        <is>
          <t>Integrasi Mesin Fingerprint / RFID</t>
        </is>
      </c>
      <c r="D11" s="6" t="inlineStr">
        <is>
          <t>Solution / ZKTeco / Fingerspot</t>
        </is>
      </c>
      <c r="E11" s="10" t="n">
        <v>1500000</v>
      </c>
      <c r="F11" s="10" t="n">
        <v>2500000</v>
      </c>
      <c r="G11" s="10" t="n">
        <v>2000000</v>
      </c>
      <c r="H11" s="6" t="inlineStr">
        <is>
          <t>Tarik log presensi karyawan via SDK / Local network endpoint</t>
        </is>
      </c>
    </row>
    <row r="12">
      <c r="A12" s="12" t="inlineStr">
        <is>
          <t>HDW-CAM-01</t>
        </is>
      </c>
      <c r="B12" s="14" t="inlineStr">
        <is>
          <t>Hardware Scanner</t>
        </is>
      </c>
      <c r="C12" s="8" t="inlineStr">
        <is>
          <t>Barcode / QR Code Scanner via Kamera</t>
        </is>
      </c>
      <c r="D12" s="8" t="inlineStr">
        <is>
          <t>Webcam Browser / Barcode Scanner USB</t>
        </is>
      </c>
      <c r="E12" s="13" t="n">
        <v>0</v>
      </c>
      <c r="F12" s="13" t="n">
        <v>0</v>
      </c>
      <c r="G12" s="13" t="n">
        <v>0</v>
      </c>
      <c r="H12" s="8" t="inlineStr">
        <is>
          <t>GRATIS / INCLUDED (Integrasi via JS library HTML5-QRCode)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24" customWidth="1" min="4" max="4"/>
    <col width="30" customWidth="1" min="5" max="5"/>
    <col width="55" customWidth="1" min="6" max="6"/>
  </cols>
  <sheetData>
    <row r="1">
      <c r="A1" s="1" t="inlineStr">
        <is>
          <t>PLATFORM MULTIPLIER &amp; ATURAN PENYESUAIAN</t>
        </is>
      </c>
    </row>
    <row r="2">
      <c r="A2" s="2" t="inlineStr">
        <is>
          <t>Faktor pengali teknologi, platform target, dan tingkat kustomisasi UI/UX</t>
        </is>
      </c>
    </row>
    <row r="3"/>
    <row r="4">
      <c r="A4" s="4" t="inlineStr">
        <is>
          <t>Kode</t>
        </is>
      </c>
      <c r="B4" s="4" t="inlineStr">
        <is>
          <t>Kategori</t>
        </is>
      </c>
      <c r="C4" s="4" t="inlineStr">
        <is>
          <t>Platform / Desain</t>
        </is>
      </c>
      <c r="D4" s="4" t="inlineStr">
        <is>
          <t>Multiplier / Base Price</t>
        </is>
      </c>
      <c r="E4" s="4" t="inlineStr">
        <is>
          <t>Rentang Estimasi</t>
        </is>
      </c>
      <c r="F4" s="4" t="inlineStr">
        <is>
          <t>Catatan Teknis</t>
        </is>
      </c>
    </row>
    <row r="5">
      <c r="A5" s="9" t="inlineStr">
        <is>
          <t>PLT-01</t>
        </is>
      </c>
      <c r="B5" s="11" t="inlineStr">
        <is>
          <t>Platform</t>
        </is>
      </c>
      <c r="C5" s="6" t="inlineStr">
        <is>
          <t>Web App Standar (Desktop)</t>
        </is>
      </c>
      <c r="D5" s="15" t="n">
        <v>1</v>
      </c>
      <c r="E5" s="6" t="inlineStr">
        <is>
          <t>Sesuai kalkulasi modul</t>
        </is>
      </c>
      <c r="F5" s="6" t="inlineStr">
        <is>
          <t>Basis acuan utama (Laravel / Tailwind)</t>
        </is>
      </c>
    </row>
    <row r="6">
      <c r="A6" s="12" t="inlineStr">
        <is>
          <t>PLT-02</t>
        </is>
      </c>
      <c r="B6" s="14" t="inlineStr">
        <is>
          <t>Platform</t>
        </is>
      </c>
      <c r="C6" s="8" t="inlineStr">
        <is>
          <t>Web App Full Responsive (Mobile PWA)</t>
        </is>
      </c>
      <c r="D6" s="16" t="n">
        <v>1</v>
      </c>
      <c r="E6" s="8" t="inlineStr">
        <is>
          <t>Sesuai kalkulasi modul</t>
        </is>
      </c>
      <c r="F6" s="8" t="inlineStr">
        <is>
          <t>Mobile-optimized layout tanpa extra multiplier</t>
        </is>
      </c>
    </row>
    <row r="7">
      <c r="A7" s="9" t="inlineStr">
        <is>
          <t>PLT-03</t>
        </is>
      </c>
      <c r="B7" s="11" t="inlineStr">
        <is>
          <t>Platform</t>
        </is>
      </c>
      <c r="C7" s="6" t="inlineStr">
        <is>
          <t>Mobile App (Android Only - Flutter)</t>
        </is>
      </c>
      <c r="D7" s="15" t="n">
        <v>1.6</v>
      </c>
      <c r="E7" s="6" t="inlineStr">
        <is>
          <t>Rp 4.000.000 - Rp 6.000.000</t>
        </is>
      </c>
      <c r="F7" s="6" t="inlineStr">
        <is>
          <t>Dedicated Flutter codebase, build APK/AAB Android</t>
        </is>
      </c>
    </row>
    <row r="8">
      <c r="A8" s="12" t="inlineStr">
        <is>
          <t>PLT-04</t>
        </is>
      </c>
      <c r="B8" s="14" t="inlineStr">
        <is>
          <t>Platform</t>
        </is>
      </c>
      <c r="C8" s="8" t="inlineStr">
        <is>
          <t>Offline-First Mobile/Desktop App</t>
        </is>
      </c>
      <c r="D8" s="16" t="n">
        <v>2.2</v>
      </c>
      <c r="E8" s="8" t="inlineStr">
        <is>
          <t>Rp 4.500.000 - Rp 8.000.000</t>
        </is>
      </c>
      <c r="F8" s="8" t="inlineStr">
        <is>
          <t>Local SQLite engine + 2-way sync queue ke cloud database</t>
        </is>
      </c>
    </row>
    <row r="9">
      <c r="A9" s="9" t="inlineStr">
        <is>
          <t>DES-01</t>
        </is>
      </c>
      <c r="B9" s="11" t="inlineStr">
        <is>
          <t>Desain UI/UX</t>
        </is>
      </c>
      <c r="C9" s="6" t="inlineStr">
        <is>
          <t>Template / Component Library UI</t>
        </is>
      </c>
      <c r="D9" s="6" t="n">
        <v>0</v>
      </c>
      <c r="E9" s="6" t="inlineStr">
        <is>
          <t>Termasuk harga modul</t>
        </is>
      </c>
      <c r="F9" s="6" t="inlineStr">
        <is>
          <t>Menggunakan Tailwind UI / Bootstrap Admin template modern</t>
        </is>
      </c>
    </row>
    <row r="10">
      <c r="A10" s="12" t="inlineStr">
        <is>
          <t>DES-02</t>
        </is>
      </c>
      <c r="B10" s="14" t="inlineStr">
        <is>
          <t>Desain UI/UX</t>
        </is>
      </c>
      <c r="C10" s="8" t="inlineStr">
        <is>
          <t>Custom Tailored UI Design</t>
        </is>
      </c>
      <c r="D10" s="13" t="n">
        <v>350000</v>
      </c>
      <c r="E10" s="8" t="inlineStr">
        <is>
          <t>+ Rp 250.000 - Rp 500.000</t>
        </is>
      </c>
      <c r="F10" s="8" t="inlineStr">
        <is>
          <t>Desain eksklusif menyesuaikan warna/identitas brand klien</t>
        </is>
      </c>
    </row>
    <row r="11">
      <c r="A11" s="9" t="inlineStr">
        <is>
          <t>URG-01</t>
        </is>
      </c>
      <c r="B11" s="11" t="inlineStr">
        <is>
          <t>Kecepatan</t>
        </is>
      </c>
      <c r="C11" s="6" t="inlineStr">
        <is>
          <t>Normal Timeline</t>
        </is>
      </c>
      <c r="D11" s="17" t="n">
        <v>0</v>
      </c>
      <c r="E11" s="6" t="inlineStr">
        <is>
          <t>+ 0%</t>
        </is>
      </c>
      <c r="F11" s="6" t="inlineStr">
        <is>
          <t>Jadwal pengerjaan standar (2 - 4 minggu)</t>
        </is>
      </c>
    </row>
    <row r="12">
      <c r="A12" s="12" t="inlineStr">
        <is>
          <t>URG-02</t>
        </is>
      </c>
      <c r="B12" s="14" t="inlineStr">
        <is>
          <t>Kecepatan</t>
        </is>
      </c>
      <c r="C12" s="8" t="inlineStr">
        <is>
          <t>Rush Project (Percepatan 20-30%)</t>
        </is>
      </c>
      <c r="D12" s="18" t="n">
        <v>0.25</v>
      </c>
      <c r="E12" s="8" t="inlineStr">
        <is>
          <t>+ 20% s/d + 30%</t>
        </is>
      </c>
      <c r="F12" s="8" t="inlineStr">
        <is>
          <t>Prioritas lembur developer, timeline dipersingkat 30%</t>
        </is>
      </c>
    </row>
    <row r="13">
      <c r="A13" s="9" t="inlineStr">
        <is>
          <t>URG-03</t>
        </is>
      </c>
      <c r="B13" s="11" t="inlineStr">
        <is>
          <t>Kecepatan</t>
        </is>
      </c>
      <c r="C13" s="6" t="inlineStr">
        <is>
          <t>Super Rush (Percepatan 40-50%)</t>
        </is>
      </c>
      <c r="D13" s="17" t="n">
        <v>0.5</v>
      </c>
      <c r="E13" s="6" t="inlineStr">
        <is>
          <t>+ 40% s/d + 50%</t>
        </is>
      </c>
      <c r="F13" s="6" t="inlineStr">
        <is>
          <t>Timeline dipangkas separuh, alokasi resource penuh</t>
        </is>
      </c>
    </row>
    <row r="14">
      <c r="A14" s="12" t="inlineStr">
        <is>
          <t>BRF-01</t>
        </is>
      </c>
      <c r="B14" s="14" t="inlineStr">
        <is>
          <t>Brief</t>
        </is>
      </c>
      <c r="C14" s="8" t="inlineStr">
        <is>
          <t>Brief Sangat Matang &amp; Siap Wireframe</t>
        </is>
      </c>
      <c r="D14" s="18" t="n">
        <v>-0.075</v>
      </c>
      <c r="E14" s="8" t="inlineStr">
        <is>
          <t>- 5% s/d - 10%</t>
        </is>
      </c>
      <c r="F14" s="8" t="inlineStr">
        <is>
          <t>Diskon efisiensi karena spesifikasi sudah presisi</t>
        </is>
      </c>
    </row>
    <row r="15">
      <c r="A15" s="9" t="inlineStr">
        <is>
          <t>BRF-02</t>
        </is>
      </c>
      <c r="B15" s="11" t="inlineStr">
        <is>
          <t>Brief</t>
        </is>
      </c>
      <c r="C15" s="6" t="inlineStr">
        <is>
          <t>Brief Mentah / Belum Jelas (Scope Creep Risk)</t>
        </is>
      </c>
      <c r="D15" s="17" t="n">
        <v>0.075</v>
      </c>
      <c r="E15" s="6" t="inlineStr">
        <is>
          <t>+ 5% s/d + 10%</t>
        </is>
      </c>
      <c r="F15" s="6" t="inlineStr">
        <is>
          <t>Risk buffer untuk mengantisipasi eksplorasi kebutuhan di jalan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35" customWidth="1" min="2" max="2"/>
    <col width="35" customWidth="1" min="3" max="3"/>
    <col width="50" customWidth="1" min="4" max="4"/>
    <col width="35" customWidth="1" min="5" max="5"/>
  </cols>
  <sheetData>
    <row r="1">
      <c r="A1" s="1" t="inlineStr">
        <is>
          <t>SEGMENTASI KLIEN, ATURAN PEMBAYARAN, &amp; SERVICE LEVEL AGREEMENT</t>
        </is>
      </c>
    </row>
    <row r="2">
      <c r="A2" s="2" t="inlineStr">
        <is>
          <t>Parameter non-teknis, floor price segmentasi, dan termin transaksi</t>
        </is>
      </c>
    </row>
    <row r="3"/>
    <row r="4">
      <c r="A4" s="19" t="inlineStr">
        <is>
          <t>1. SEGMENTASI KLIEN &amp; FLOOR PRICE</t>
        </is>
      </c>
    </row>
    <row r="5">
      <c r="A5" s="20" t="inlineStr">
        <is>
          <t>Segmentasi Klien</t>
        </is>
      </c>
      <c r="B5" s="20" t="inlineStr">
        <is>
          <t>Floor Price (Compro / Landing Page)</t>
        </is>
      </c>
      <c r="C5" s="20" t="inlineStr">
        <is>
          <t>Floor Price (Sistem / Web App)</t>
        </is>
      </c>
      <c r="D5" s="20" t="inlineStr">
        <is>
          <t>Rekomendasi Strategi Pricing</t>
        </is>
      </c>
      <c r="E5" s="20" t="inlineStr">
        <is>
          <t>Skema Pembayaran</t>
        </is>
      </c>
    </row>
    <row r="6">
      <c r="A6" s="7" t="inlineStr">
        <is>
          <t>UMKM / Solo Entrepreneur</t>
        </is>
      </c>
      <c r="B6" s="13" t="n">
        <v>1200000</v>
      </c>
      <c r="C6" s="13" t="n">
        <v>1200000</v>
      </c>
      <c r="D6" s="8" t="inlineStr">
        <is>
          <t>Tawarkan opsi Lean MVP / Bertahap agar sesuai budget, jelaskan upgrade path</t>
        </is>
      </c>
      <c r="E6" s="8" t="inlineStr">
        <is>
          <t>DP 30% | Pelunasan 70%</t>
        </is>
      </c>
    </row>
    <row r="7">
      <c r="A7" s="5" t="inlineStr">
        <is>
          <t>Sekolah / Yayasan / Organisasi</t>
        </is>
      </c>
      <c r="B7" s="10" t="n">
        <v>1200000</v>
      </c>
      <c r="C7" s="10" t="n">
        <v>2500000</v>
      </c>
      <c r="D7" s="6" t="inlineStr">
        <is>
          <t>Tekankan kemudahan tata kelola data, rekap laporan, &amp; kemudahan operator</t>
        </is>
      </c>
      <c r="E7" s="6" t="inlineStr">
        <is>
          <t>DP 30% / 20% | Pelunasan</t>
        </is>
      </c>
    </row>
    <row r="8">
      <c r="A8" s="7" t="inlineStr">
        <is>
          <t>Perusahaan Swasta (PT / CV)</t>
        </is>
      </c>
      <c r="B8" s="13" t="n">
        <v>1200000</v>
      </c>
      <c r="C8" s="13" t="n">
        <v>2500000</v>
      </c>
      <c r="D8" s="8" t="inlineStr">
        <is>
          <t>Tawarkan arsitektur scalable, multi-role RBAC, dan audit trail keamanan</t>
        </is>
      </c>
      <c r="E8" s="8" t="inlineStr">
        <is>
          <t>DP 20% | Termin Progress | Pelunasan</t>
        </is>
      </c>
    </row>
    <row r="9">
      <c r="A9" s="5" t="inlineStr">
        <is>
          <t>BUMN / Instansi / Tender</t>
        </is>
      </c>
      <c r="B9" s="10" t="n">
        <v>1200000</v>
      </c>
      <c r="C9" s="10" t="n">
        <v>4000000</v>
      </c>
      <c r="D9" s="6" t="inlineStr">
        <is>
          <t>Paket lengkap formal, dokumentasi serah terima lengkap, garansi &amp; SLA resmi</t>
        </is>
      </c>
      <c r="E9" s="6" t="inlineStr">
        <is>
          <t>Sesuai SPK / Termin Resmi</t>
        </is>
      </c>
    </row>
    <row r="10"/>
    <row r="11"/>
    <row r="12">
      <c r="A12" s="19" t="inlineStr">
        <is>
          <t>2. ATURAN TERMIN, GARANSI &amp; SLA PEMELIHARAAN</t>
        </is>
      </c>
    </row>
    <row r="13">
      <c r="A13" s="20" t="inlineStr">
        <is>
          <t>Komponen Aturan</t>
        </is>
      </c>
      <c r="B13" s="20" t="inlineStr">
        <is>
          <t>Ketentuan Baku</t>
        </is>
      </c>
      <c r="C13" s="20" t="inlineStr">
        <is>
          <t>Dampak Nominal / Biaya</t>
        </is>
      </c>
      <c r="D13" s="20" t="inlineStr">
        <is>
          <t>Keterangan</t>
        </is>
      </c>
    </row>
    <row r="14">
      <c r="A14" s="7" t="inlineStr">
        <is>
          <t>Termin Proyek &lt; Rp 5.000.000</t>
        </is>
      </c>
      <c r="B14" s="8" t="inlineStr">
        <is>
          <t>DP 30% Kick-off</t>
        </is>
      </c>
      <c r="C14" s="8" t="inlineStr">
        <is>
          <t>30% Nilai Kontrak</t>
        </is>
      </c>
      <c r="D14" s="8" t="inlineStr">
        <is>
          <t>Sisa 70% dibayar setelah lolos UAT sebelum rilis final</t>
        </is>
      </c>
    </row>
    <row r="15">
      <c r="A15" s="5" t="inlineStr">
        <is>
          <t>Termin Proyek &gt;= Rp 5.000.000</t>
        </is>
      </c>
      <c r="B15" s="6" t="inlineStr">
        <is>
          <t>DP 20% Kick-off</t>
        </is>
      </c>
      <c r="C15" s="6" t="inlineStr">
        <is>
          <t>20% Nilai Kontrak</t>
        </is>
      </c>
      <c r="D15" s="6" t="inlineStr">
        <is>
          <t>Sisa dibayar bertahap (Termin Progress) atau lunas di akhir</t>
        </is>
      </c>
    </row>
    <row r="16">
      <c r="A16" s="7" t="inlineStr">
        <is>
          <t>Garansi Bug Pasca Rilis</t>
        </is>
      </c>
      <c r="B16" s="8" t="inlineStr">
        <is>
          <t>30 Hari Kalender</t>
        </is>
      </c>
      <c r="C16" s="8" t="inlineStr">
        <is>
          <t>GRATIS (Rp 0)</t>
        </is>
      </c>
      <c r="D16" s="8" t="inlineStr">
        <is>
          <t>Masa pemeliharaan bebas biaya untuk perbaikan bug sistem</t>
        </is>
      </c>
    </row>
    <row r="17">
      <c r="A17" s="5" t="inlineStr">
        <is>
          <t>Revisi Minor Saat UAT</t>
        </is>
      </c>
      <c r="B17" s="6" t="inlineStr">
        <is>
          <t>Maksimal 2x Putaran</t>
        </is>
      </c>
      <c r="C17" s="6" t="inlineStr">
        <is>
          <t>GRATIS (Rp 0)</t>
        </is>
      </c>
      <c r="D17" s="6" t="inlineStr">
        <is>
          <t>Perubahan teks, warna, penataan tombol tanpa ubah alur logika</t>
        </is>
      </c>
    </row>
    <row r="18">
      <c r="A18" s="7" t="inlineStr">
        <is>
          <t>Revisi Mayor (Ubah Alur)</t>
        </is>
      </c>
      <c r="B18" s="8" t="inlineStr">
        <is>
          <t>Dihitung Sebagai Modul Baru</t>
        </is>
      </c>
      <c r="C18" s="8" t="inlineStr">
        <is>
          <t>Sesuai Rate Card Modul</t>
        </is>
      </c>
      <c r="D18" s="8" t="inlineStr">
        <is>
          <t>Misal: menambah hak akses baru atau menambah entitas baru</t>
        </is>
      </c>
    </row>
    <row r="19">
      <c r="A19" s="5" t="inlineStr">
        <is>
          <t>SLA Maintenance Ringan</t>
        </is>
      </c>
      <c r="B19" s="6" t="inlineStr">
        <is>
          <t>Sistem Internal &lt; 50 User</t>
        </is>
      </c>
      <c r="C19" s="6" t="inlineStr">
        <is>
          <t>Mulai Rp 200.000 / bulan</t>
        </is>
      </c>
      <c r="D19" s="6" t="inlineStr">
        <is>
          <t>Monitoring server, backup rutin, tanpa modul keuangan berat</t>
        </is>
      </c>
    </row>
    <row r="20">
      <c r="A20" s="7" t="inlineStr">
        <is>
          <t>Incident-Based Support</t>
        </is>
      </c>
      <c r="B20" s="8" t="inlineStr">
        <is>
          <t>Per Kasus / Insidental</t>
        </is>
      </c>
      <c r="C20" s="8" t="inlineStr">
        <is>
          <t>Dihitung per modul terkait</t>
        </is>
      </c>
      <c r="D20" s="8" t="inlineStr">
        <is>
          <t>Penanganan kendala pasca garansi tanpa kontrak retainer</t>
        </is>
      </c>
    </row>
    <row r="21">
      <c r="A21" s="5" t="inlineStr">
        <is>
          <t>Infrastruktur Domain / Hosting</t>
        </is>
      </c>
      <c r="B21" s="6" t="inlineStr">
        <is>
          <t>Acuan Dewaweb (At-Cost)</t>
        </is>
      </c>
      <c r="C21" s="6" t="inlineStr">
        <is>
          <t>~Rp 195rb/th (.com) + ~Rp 35rb/bln</t>
        </is>
      </c>
      <c r="D21" s="6" t="inlineStr">
        <is>
          <t>Dibeli langsung klien atau via Wirodev. Setup GRATIS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45" customWidth="1" min="3" max="3"/>
    <col width="35" customWidth="1" min="4" max="4"/>
    <col width="18" customWidth="1" min="5" max="5"/>
    <col width="18" customWidth="1" min="6" max="6"/>
    <col width="20" customWidth="1" min="7" max="7"/>
    <col width="65" customWidth="1" min="8" max="8"/>
    <col width="55" customWidth="1" min="9" max="9"/>
  </cols>
  <sheetData>
    <row r="1">
      <c r="A1" s="1" t="inlineStr">
        <is>
          <t>DATASET TRAINING AI - PRICING MATCHING &amp; RATIFICATION ENGINE</t>
        </is>
      </c>
    </row>
    <row r="2">
      <c r="A2" s="2" t="inlineStr">
        <is>
          <t>Format tabular terstruktur untuk grounding/RAG/fine-tuning AI agar otomatis mencocokkan kebutuhan klien ke estimasi harga</t>
        </is>
      </c>
    </row>
    <row r="3"/>
    <row r="4">
      <c r="A4" s="4" t="inlineStr">
        <is>
          <t>ID_Rule</t>
        </is>
      </c>
      <c r="B4" s="4" t="inlineStr">
        <is>
          <t>Kategori_Kebutuhan</t>
        </is>
      </c>
      <c r="C4" s="4" t="inlineStr">
        <is>
          <t>Keyword_Intent_Klien</t>
        </is>
      </c>
      <c r="D4" s="4" t="inlineStr">
        <is>
          <t>Fitur_Terpetakan</t>
        </is>
      </c>
      <c r="E4" s="4" t="inlineStr">
        <is>
          <t>Harga_Min_IDR</t>
        </is>
      </c>
      <c r="F4" s="4" t="inlineStr">
        <is>
          <t>Harga_Max_IDR</t>
        </is>
      </c>
      <c r="G4" s="4" t="inlineStr">
        <is>
          <t>Harga_Default_IDR</t>
        </is>
      </c>
      <c r="H4" s="4" t="inlineStr">
        <is>
          <t>Logika_Pencocokan_AI</t>
        </is>
      </c>
      <c r="I4" s="4" t="inlineStr">
        <is>
          <t>Scope_Boundary_Batasan</t>
        </is>
      </c>
    </row>
    <row r="5">
      <c r="A5" s="9" t="inlineStr">
        <is>
          <t>CR-001</t>
        </is>
      </c>
      <c r="B5" s="11" t="inlineStr">
        <is>
          <t>Master Data</t>
        </is>
      </c>
      <c r="C5" s="6" t="inlineStr">
        <is>
          <t>data barang, data pelanggan, master supplier, master kategori, CRUD simpel</t>
        </is>
      </c>
      <c r="D5" s="6" t="inlineStr">
        <is>
          <t>Modul CRUD Standar</t>
        </is>
      </c>
      <c r="E5" s="10" t="n">
        <v>200000</v>
      </c>
      <c r="F5" s="10" t="n">
        <v>300000</v>
      </c>
      <c r="G5" s="10" t="n">
        <v>250000</v>
      </c>
      <c r="H5" s="6" t="inlineStr">
        <is>
          <t>Hitung per tabel/entitas unik. Jika ada 3 master data = 3 x Rp 250rb = Rp 750rb</t>
        </is>
      </c>
      <c r="I5" s="6" t="inlineStr">
        <is>
          <t>Hanya operasi create, read, update, delete tanpa relasi bertingkat</t>
        </is>
      </c>
    </row>
    <row r="6">
      <c r="A6" s="12" t="inlineStr">
        <is>
          <t>CR-002</t>
        </is>
      </c>
      <c r="B6" s="14" t="inlineStr">
        <is>
          <t>Transaksi Relasional</t>
        </is>
      </c>
      <c r="C6" s="8" t="inlineStr">
        <is>
          <t>invoice order, keranjang belanja, rincian RAB, item pembelian, multi-item</t>
        </is>
      </c>
      <c r="D6" s="8" t="inlineStr">
        <is>
          <t>Modul Relasional Parent-Child</t>
        </is>
      </c>
      <c r="E6" s="13" t="n">
        <v>800000</v>
      </c>
      <c r="F6" s="13" t="n">
        <v>1000000</v>
      </c>
      <c r="G6" s="13" t="n">
        <v>900000</v>
      </c>
      <c r="H6" s="8" t="inlineStr">
        <is>
          <t>Cocokkan jika ada 1 header memiliki banyak baris detail relasi</t>
        </is>
      </c>
      <c r="I6" s="8" t="inlineStr">
        <is>
          <t>Sudah mencakup kalkulasi subtotal dan sinkronisasi parent-child</t>
        </is>
      </c>
    </row>
    <row r="7">
      <c r="A7" s="9" t="inlineStr">
        <is>
          <t>CR-003</t>
        </is>
      </c>
      <c r="B7" s="11" t="inlineStr">
        <is>
          <t>Approval / Alur</t>
        </is>
      </c>
      <c r="C7" s="6" t="inlineStr">
        <is>
          <t>persetujuan bertingkat, verifikasi manager, tracking status, acc pimpinan, reject</t>
        </is>
      </c>
      <c r="D7" s="6" t="inlineStr">
        <is>
          <t>Modul State Machine Workflow</t>
        </is>
      </c>
      <c r="E7" s="10" t="n">
        <v>1000000</v>
      </c>
      <c r="F7" s="10" t="n">
        <v>1200000</v>
      </c>
      <c r="G7" s="10" t="n">
        <v>1100000</v>
      </c>
      <c r="H7" s="6" t="inlineStr">
        <is>
          <t>Cocokkan jika ada alur perpindahan status dan penguncian data otomatis</t>
        </is>
      </c>
      <c r="I7" s="6" t="inlineStr">
        <is>
          <t>Maksimal 4-5 tahapan status per dokumen</t>
        </is>
      </c>
    </row>
    <row r="8">
      <c r="A8" s="12" t="inlineStr">
        <is>
          <t>CR-004</t>
        </is>
      </c>
      <c r="B8" s="14" t="inlineStr">
        <is>
          <t>Keuangan / Arus Kas</t>
        </is>
      </c>
      <c r="C8" s="8" t="inlineStr">
        <is>
          <t>mutasi kas, running balance, kas kecil, rekonsiliasi saldo, selisih uang, cashflow</t>
        </is>
      </c>
      <c r="D8" s="8" t="inlineStr">
        <is>
          <t>Kalkulasi Finansial &amp; Kas</t>
        </is>
      </c>
      <c r="E8" s="13" t="n">
        <v>2000000</v>
      </c>
      <c r="F8" s="13" t="n">
        <v>4000000</v>
      </c>
      <c r="G8" s="13" t="n">
        <v>2500000</v>
      </c>
      <c r="H8" s="8" t="inlineStr">
        <is>
          <t>Wajib dimasukkan jika klien menyebut kontrol uang, pembukuan kas, rekonsiliasi</t>
        </is>
      </c>
      <c r="I8" s="8" t="inlineStr">
        <is>
          <t>Saldo dihitung otomatis dari (Awal + In - Out), bukan diinput manual</t>
        </is>
      </c>
    </row>
    <row r="9">
      <c r="A9" s="9" t="inlineStr">
        <is>
          <t>CR-005</t>
        </is>
      </c>
      <c r="B9" s="11" t="inlineStr">
        <is>
          <t>Laba Rugi</t>
        </is>
      </c>
      <c r="C9" s="6" t="inlineStr">
        <is>
          <t>laba kotor, laba bersih, profit, omset harian, HPP belanja, untung rugi</t>
        </is>
      </c>
      <c r="D9" s="6" t="inlineStr">
        <is>
          <t>Laba Rugi Sederhana</t>
        </is>
      </c>
      <c r="E9" s="10" t="n">
        <v>500000</v>
      </c>
      <c r="F9" s="10" t="n">
        <v>800000</v>
      </c>
      <c r="G9" s="10" t="n">
        <v>600000</v>
      </c>
      <c r="H9" s="6" t="inlineStr">
        <is>
          <t>Cocokkan jika klien butuh ringkasan performa finansial simpel</t>
        </is>
      </c>
      <c r="I9" s="6" t="inlineStr">
        <is>
          <t>Rumus: Omset - HPP - Beban Operasional = Laba Bersih</t>
        </is>
      </c>
    </row>
    <row r="10">
      <c r="A10" s="12" t="inlineStr">
        <is>
          <t>CR-006</t>
        </is>
      </c>
      <c r="B10" s="14" t="inlineStr">
        <is>
          <t>Hak Akses Statis</t>
        </is>
      </c>
      <c r="C10" s="8" t="inlineStr">
        <is>
          <t>login admin, 3 role, owner manager staff, sembunyikan saldo dari staff</t>
        </is>
      </c>
      <c r="D10" s="8" t="inlineStr">
        <is>
          <t>Static Role (3 Level)</t>
        </is>
      </c>
      <c r="E10" s="13" t="n">
        <v>600000</v>
      </c>
      <c r="F10" s="13" t="n">
        <v>600000</v>
      </c>
      <c r="G10" s="13" t="n">
        <v>600000</v>
      </c>
      <c r="H10" s="8" t="inlineStr">
        <is>
          <t>Gunakan jika klien butuh pembagian hak akses tanpa perlu UI centang-centang dinamis</t>
        </is>
      </c>
      <c r="I10" s="8" t="inlineStr">
        <is>
          <t>Hak akses terhardcode di kodingan (Owner full, Manager toko, Staff input)</t>
        </is>
      </c>
    </row>
    <row r="11">
      <c r="A11" s="9" t="inlineStr">
        <is>
          <t>CR-007</t>
        </is>
      </c>
      <c r="B11" s="11" t="inlineStr">
        <is>
          <t>Hak Akses Dinamis</t>
        </is>
      </c>
      <c r="C11" s="6" t="inlineStr">
        <is>
          <t>matriks hak akses, atur izin user dari web, role dinamis, centang akses CRUD</t>
        </is>
      </c>
      <c r="D11" s="6" t="inlineStr">
        <is>
          <t>Dynamic Granular RBAC</t>
        </is>
      </c>
      <c r="E11" s="10" t="n">
        <v>1000000</v>
      </c>
      <c r="F11" s="10" t="n">
        <v>1000000</v>
      </c>
      <c r="G11" s="10" t="n">
        <v>1000000</v>
      </c>
      <c r="H11" s="6" t="inlineStr">
        <is>
          <t>Gunakan jika klien secara eksplisit minta menu manajemen role fleksibel</t>
        </is>
      </c>
      <c r="I11" s="6" t="inlineStr">
        <is>
          <t>Ada halaman UI khusus pengaturan permission per role</t>
        </is>
      </c>
    </row>
    <row r="12">
      <c r="A12" s="12" t="inlineStr">
        <is>
          <t>CR-008</t>
        </is>
      </c>
      <c r="B12" s="14" t="inlineStr">
        <is>
          <t>Export Excel</t>
        </is>
      </c>
      <c r="C12" s="8" t="inlineStr">
        <is>
          <t>download excel, export .xlsx, laporan excel, arsip offline</t>
        </is>
      </c>
      <c r="D12" s="8" t="inlineStr">
        <is>
          <t>Export Excel Terformat</t>
        </is>
      </c>
      <c r="E12" s="13" t="n">
        <v>650000</v>
      </c>
      <c r="F12" s="13" t="n">
        <v>650000</v>
      </c>
      <c r="G12" s="13" t="n">
        <v>650000</v>
      </c>
      <c r="H12" s="8" t="inlineStr">
        <is>
          <t>Jika klien butuh unduh laporan dalam format Excel rapi</t>
        </is>
      </c>
      <c r="I12" s="8" t="inlineStr">
        <is>
          <t>Format .xlsx rapi ber-kop, border, format Rupiah (add-on khusus bisa Rp 200rb/laporan)</t>
        </is>
      </c>
    </row>
    <row r="13">
      <c r="A13" s="9" t="inlineStr">
        <is>
          <t>CR-009</t>
        </is>
      </c>
      <c r="B13" s="11" t="inlineStr">
        <is>
          <t>Export PDF</t>
        </is>
      </c>
      <c r="C13" s="6" t="inlineStr">
        <is>
          <t>cetak pdf, cetak surat, invoice pdf, format cetak resmi</t>
        </is>
      </c>
      <c r="D13" s="6" t="inlineStr">
        <is>
          <t>Export PDF Terformat</t>
        </is>
      </c>
      <c r="E13" s="10" t="n">
        <v>650000</v>
      </c>
      <c r="F13" s="10" t="n">
        <v>650000</v>
      </c>
      <c r="G13" s="10" t="n">
        <v>650000</v>
      </c>
      <c r="H13" s="6" t="inlineStr">
        <is>
          <t>Jika klien butuh file dokumen siap cetak A4/Letter</t>
        </is>
      </c>
      <c r="I13" s="6" t="inlineStr">
        <is>
          <t>Layout HTML-to-PDF rapi dengan kop dan kolom tanda tangan</t>
        </is>
      </c>
    </row>
    <row r="14">
      <c r="A14" s="12" t="inlineStr">
        <is>
          <t>CR-010</t>
        </is>
      </c>
      <c r="B14" s="14" t="inlineStr">
        <is>
          <t>Import Excel</t>
        </is>
      </c>
      <c r="C14" s="8" t="inlineStr">
        <is>
          <t>upload excel, import data lama, migrasi data CSV, import masal</t>
        </is>
      </c>
      <c r="D14" s="8" t="inlineStr">
        <is>
          <t>Import Masal Excel/CSV</t>
        </is>
      </c>
      <c r="E14" s="13" t="n">
        <v>650000</v>
      </c>
      <c r="F14" s="13" t="n">
        <v>650000</v>
      </c>
      <c r="G14" s="13" t="n">
        <v>650000</v>
      </c>
      <c r="H14" s="8" t="inlineStr">
        <is>
          <t>Jika klien punya ribuan data di Excel dan ingin dimasukkan ke sistem</t>
        </is>
      </c>
      <c r="I14" s="8" t="inlineStr">
        <is>
          <t>Termasuk validasi error per baris dan deteksi duplikasi</t>
        </is>
      </c>
    </row>
    <row r="15">
      <c r="A15" s="9" t="inlineStr">
        <is>
          <t>CR-011</t>
        </is>
      </c>
      <c r="B15" s="11" t="inlineStr">
        <is>
          <t>Pembayaran Online</t>
        </is>
      </c>
      <c r="C15" s="6" t="inlineStr">
        <is>
          <t>midtrans, xendit, qris otomatis, transfer va otomatis, payment gateway</t>
        </is>
      </c>
      <c r="D15" s="6" t="inlineStr">
        <is>
          <t>Integrasi Payment Gateway</t>
        </is>
      </c>
      <c r="E15" s="10" t="n">
        <v>2500000</v>
      </c>
      <c r="F15" s="10" t="n">
        <v>2500000</v>
      </c>
      <c r="G15" s="10" t="n">
        <v>2500000</v>
      </c>
      <c r="H15" s="6" t="inlineStr">
        <is>
          <t>Wajib ditambahkan jika klien ingin pelanggan bayar langsung di web/app</t>
        </is>
      </c>
      <c r="I15" s="6" t="inlineStr">
        <is>
          <t>Termasuk integrasi webhook callback &amp; update status invoice otomatis</t>
        </is>
      </c>
    </row>
    <row r="16">
      <c r="A16" s="12" t="inlineStr">
        <is>
          <t>CR-012</t>
        </is>
      </c>
      <c r="B16" s="14" t="inlineStr">
        <is>
          <t>Notifikasi WA</t>
        </is>
      </c>
      <c r="C16" s="8" t="inlineStr">
        <is>
          <t>kirim wa otomatis, notif wa, wa reminder, blast wa, fonnte, wablas</t>
        </is>
      </c>
      <c r="D16" s="8" t="inlineStr">
        <is>
          <t>WhatsApp Gateway API</t>
        </is>
      </c>
      <c r="E16" s="13" t="n">
        <v>600000</v>
      </c>
      <c r="F16" s="13" t="n">
        <v>1200000</v>
      </c>
      <c r="G16" s="13" t="n">
        <v>900000</v>
      </c>
      <c r="H16" s="8" t="inlineStr">
        <is>
          <t>Jika klien ingin notifikasi instan ke nomor WhatsApp</t>
        </is>
      </c>
      <c r="I16" s="8" t="inlineStr">
        <is>
          <t>Harga belum termasuk biaya langganan nomor vendor WA Gateway</t>
        </is>
      </c>
    </row>
    <row r="17">
      <c r="A17" s="9" t="inlineStr">
        <is>
          <t>CR-013</t>
        </is>
      </c>
      <c r="B17" s="11" t="inlineStr">
        <is>
          <t>Tarik Data Olsera</t>
        </is>
      </c>
      <c r="C17" s="6" t="inlineStr">
        <is>
          <t>integrasi olsera, tarik omset olsera, sinkronisasi pos, api pihak ketiga</t>
        </is>
      </c>
      <c r="D17" s="6" t="inlineStr">
        <is>
          <t>Custom 3rd Party API</t>
        </is>
      </c>
      <c r="E17" s="10" t="n">
        <v>600000</v>
      </c>
      <c r="F17" s="10" t="n">
        <v>2000000</v>
      </c>
      <c r="G17" s="10" t="n">
        <v>1500000</v>
      </c>
      <c r="H17" s="6" t="inlineStr">
        <is>
          <t>Jika sistem harus mengambil/mengirim data ke software POS/ERP eksternal</t>
        </is>
      </c>
      <c r="I17" s="6" t="inlineStr">
        <is>
          <t>Termasuk penataan dokumentasi API jika dokumentasi kurang rapi</t>
        </is>
      </c>
    </row>
    <row r="18">
      <c r="A18" s="12" t="inlineStr">
        <is>
          <t>CR-014</t>
        </is>
      </c>
      <c r="B18" s="14" t="inlineStr">
        <is>
          <t>Cetak Struk</t>
        </is>
      </c>
      <c r="C18" s="8" t="inlineStr">
        <is>
          <t>printer kasir, printer thermal, cetak struk bluetooth, pos printer</t>
        </is>
      </c>
      <c r="D18" s="8" t="inlineStr">
        <is>
          <t>Integrasi Printer Thermal</t>
        </is>
      </c>
      <c r="E18" s="13" t="n">
        <v>1500000</v>
      </c>
      <c r="F18" s="13" t="n">
        <v>1500000</v>
      </c>
      <c r="G18" s="13" t="n">
        <v>1500000</v>
      </c>
      <c r="H18" s="8" t="inlineStr">
        <is>
          <t>Jika aplikasi kasir butuh cetak fisik nota</t>
        </is>
      </c>
      <c r="I18" s="8" t="inlineStr">
        <is>
          <t>Format direct ESC/POS command 58mm atau 80mm</t>
        </is>
      </c>
    </row>
    <row r="19">
      <c r="A19" s="9" t="inlineStr">
        <is>
          <t>CR-015</t>
        </is>
      </c>
      <c r="B19" s="11" t="inlineStr">
        <is>
          <t>Scan Barcode/QR</t>
        </is>
      </c>
      <c r="C19" s="6" t="inlineStr">
        <is>
          <t>scan barcode, scan qris, scan kamera, webcam scanner</t>
        </is>
      </c>
      <c r="D19" s="6" t="inlineStr">
        <is>
          <t>Kamera / Barcode Scanner</t>
        </is>
      </c>
      <c r="E19" s="10" t="n">
        <v>0</v>
      </c>
      <c r="F19" s="10" t="n">
        <v>0</v>
      </c>
      <c r="G19" s="10" t="n">
        <v>0</v>
      </c>
      <c r="H19" s="6" t="inlineStr">
        <is>
          <t>GRATIS / FREE. Tidak boleh dikenakan biaya tambahan</t>
        </is>
      </c>
      <c r="I19" s="6" t="inlineStr">
        <is>
          <t>Implementasi library HTML5 Web camera scanner standar</t>
        </is>
      </c>
    </row>
    <row r="20">
      <c r="A20" s="12" t="inlineStr">
        <is>
          <t>CR-016</t>
        </is>
      </c>
      <c r="B20" s="14" t="inlineStr">
        <is>
          <t>Aplikasi Android</t>
        </is>
      </c>
      <c r="C20" s="8" t="inlineStr">
        <is>
          <t>aplikasi hp, aplikasi android, flutter, download di playstore</t>
        </is>
      </c>
      <c r="D20" s="8" t="inlineStr">
        <is>
          <t>Platform Android Flutter</t>
        </is>
      </c>
      <c r="E20" s="13" t="n">
        <v>4000000</v>
      </c>
      <c r="F20" s="13" t="n">
        <v>6000000</v>
      </c>
      <c r="G20" s="13" t="n">
        <v>5000000</v>
      </c>
      <c r="H20" s="8" t="inlineStr">
        <is>
          <t>Gunakan basis harga mobile flutter (pengali ~1.6x dari web)</t>
        </is>
      </c>
      <c r="I20" s="8" t="inlineStr">
        <is>
          <t>Output file APK / AAB siap install</t>
        </is>
      </c>
    </row>
    <row r="21">
      <c r="A21" s="9" t="inlineStr">
        <is>
          <t>CR-017</t>
        </is>
      </c>
      <c r="B21" s="11" t="inlineStr">
        <is>
          <t>Aplikasi Offline</t>
        </is>
      </c>
      <c r="C21" s="6" t="inlineStr">
        <is>
          <t>bisa jalan tanpa internet, offline first, sqlite lokal, sync server</t>
        </is>
      </c>
      <c r="D21" s="6" t="inlineStr">
        <is>
          <t>Platform Offline First</t>
        </is>
      </c>
      <c r="E21" s="10" t="n">
        <v>4500000</v>
      </c>
      <c r="F21" s="10" t="n">
        <v>8000000</v>
      </c>
      <c r="G21" s="10" t="n">
        <v>6000000</v>
      </c>
      <c r="H21" s="6" t="inlineStr">
        <is>
          <t>Gunakan pengali offline database sync (~2.2x)</t>
        </is>
      </c>
      <c r="I21" s="6" t="inlineStr">
        <is>
          <t>Local SQLite + Sinkronisasi dua arah saat koneksi internet tersambung</t>
        </is>
      </c>
    </row>
    <row r="22">
      <c r="A22" s="12" t="inlineStr">
        <is>
          <t>CR-018</t>
        </is>
      </c>
      <c r="B22" s="14" t="inlineStr">
        <is>
          <t>Audit Log</t>
        </is>
      </c>
      <c r="C22" s="8" t="inlineStr">
        <is>
          <t>siapa yang ubah data, catat jam edit, log aktivitas, histori hapus</t>
        </is>
      </c>
      <c r="D22" s="8" t="inlineStr">
        <is>
          <t>Audit Log &amp; Activity Trail</t>
        </is>
      </c>
      <c r="E22" s="13" t="n">
        <v>800000</v>
      </c>
      <c r="F22" s="13" t="n">
        <v>1000000</v>
      </c>
      <c r="G22" s="13" t="n">
        <v>1000000</v>
      </c>
      <c r="H22" s="8" t="inlineStr">
        <is>
          <t>Jika klien ingin melacak jejak digital stafnya</t>
        </is>
      </c>
      <c r="I22" s="8" t="inlineStr">
        <is>
          <t>Pencatatan user_id, timestamp, IP, data sebelum &amp; sesudah</t>
        </is>
      </c>
    </row>
    <row r="23">
      <c r="A23" s="9" t="inlineStr">
        <is>
          <t>CR-019</t>
        </is>
      </c>
      <c r="B23" s="11" t="inlineStr">
        <is>
          <t>Backup Database</t>
        </is>
      </c>
      <c r="C23" s="6" t="inlineStr">
        <is>
          <t>download database sendiri, backup data manual, tombol backup</t>
        </is>
      </c>
      <c r="D23" s="6" t="inlineStr">
        <is>
          <t>Tombol Download Backup DB</t>
        </is>
      </c>
      <c r="E23" s="10" t="n">
        <v>300000</v>
      </c>
      <c r="F23" s="10" t="n">
        <v>500000</v>
      </c>
      <c r="G23" s="10" t="n">
        <v>400000</v>
      </c>
      <c r="H23" s="6" t="inlineStr">
        <is>
          <t>Jika Owner ingin unduh mandiri file database .sql</t>
        </is>
      </c>
      <c r="I23" s="6" t="inlineStr">
        <is>
          <t>Dibatasi khusus untuk hak akses role Owner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2" customWidth="1" min="3" max="3"/>
    <col width="20" customWidth="1" min="4" max="4"/>
    <col width="10" customWidth="1" min="5" max="5"/>
    <col width="24" customWidth="1" min="6" max="6"/>
    <col width="50" customWidth="1" min="7" max="7"/>
  </cols>
  <sheetData>
    <row r="1">
      <c r="A1" s="1" t="inlineStr">
        <is>
          <t>KALKULATOR SIMULASI ESTIMASI BIAYA PROYEK (INTERAKTIF)</t>
        </is>
      </c>
    </row>
    <row r="2">
      <c r="A2" s="2" t="inlineStr">
        <is>
          <t>Pilih modul dan kuantitas untuk menghasilkan kalkulasi otomatis nilai penawaran, DP, dan pelunasan</t>
        </is>
      </c>
    </row>
    <row r="3"/>
    <row r="4">
      <c r="A4" s="19" t="inlineStr">
        <is>
          <t>Nama Calon Klien / Proyek:</t>
        </is>
      </c>
      <c r="B4" s="21" t="inlineStr">
        <is>
          <t>Toko Retail / Usaha Minuman</t>
        </is>
      </c>
      <c r="D4" s="19" t="inlineStr">
        <is>
          <t>Segmentasi Klien:</t>
        </is>
      </c>
      <c r="E4" s="21" t="inlineStr">
        <is>
          <t>UMKM / Solo Entrepreneur</t>
        </is>
      </c>
    </row>
    <row r="5">
      <c r="A5" s="19" t="inlineStr">
        <is>
          <t>Tingkat Kesiapan Brief:</t>
        </is>
      </c>
      <c r="B5" s="21" t="inlineStr">
        <is>
          <t>Normal (0%)</t>
        </is>
      </c>
      <c r="D5" s="19" t="inlineStr">
        <is>
          <t>Kecepatan Timeline:</t>
        </is>
      </c>
      <c r="E5" s="21" t="inlineStr">
        <is>
          <t>Normal (0%)</t>
        </is>
      </c>
    </row>
    <row r="6"/>
    <row r="7"/>
    <row r="8">
      <c r="A8" s="4" t="inlineStr">
        <is>
          <t>No</t>
        </is>
      </c>
      <c r="B8" s="4" t="inlineStr">
        <is>
          <t>Kode Item</t>
        </is>
      </c>
      <c r="C8" s="4" t="inlineStr">
        <is>
          <t>Nama Komponen / Modul</t>
        </is>
      </c>
      <c r="D8" s="4" t="inlineStr">
        <is>
          <t>Tarif Satuan (IDR)</t>
        </is>
      </c>
      <c r="E8" s="4" t="inlineStr">
        <is>
          <t>Qty</t>
        </is>
      </c>
      <c r="F8" s="4" t="inlineStr">
        <is>
          <t>Subtotal Modul (IDR)</t>
        </is>
      </c>
      <c r="G8" s="4" t="inlineStr">
        <is>
          <t>Keterangan Pilihan</t>
        </is>
      </c>
    </row>
    <row r="9">
      <c r="A9" s="22" t="n">
        <v>1</v>
      </c>
      <c r="B9" s="22" t="inlineStr">
        <is>
          <t>MOD-04</t>
        </is>
      </c>
      <c r="C9" s="23" t="inlineStr">
        <is>
          <t>Kalkulasi Finansial &amp; Multi-Akun Kas/Bank</t>
        </is>
      </c>
      <c r="D9" s="24" t="n">
        <v>2000000</v>
      </c>
      <c r="E9" s="25" t="n">
        <v>1</v>
      </c>
      <c r="F9" s="10">
        <f>D9*E9</f>
        <v/>
      </c>
      <c r="G9" s="23" t="inlineStr">
        <is>
          <t>Kasir, Kas Kecil, EDC, QRIS, Rekening Privat</t>
        </is>
      </c>
    </row>
    <row r="10">
      <c r="A10" s="22" t="n">
        <v>2</v>
      </c>
      <c r="B10" s="22" t="inlineStr">
        <is>
          <t>MOD-01</t>
        </is>
      </c>
      <c r="C10" s="23" t="inlineStr">
        <is>
          <t>Input Rekap Omset &amp; Cashflow Operasional</t>
        </is>
      </c>
      <c r="D10" s="24" t="n">
        <v>250000</v>
      </c>
      <c r="E10" s="25" t="n">
        <v>1</v>
      </c>
      <c r="F10" s="10">
        <f>D10*E10</f>
        <v/>
      </c>
      <c r="G10" s="23" t="inlineStr">
        <is>
          <t>Form input harian pengeluaran &amp; pemasukan</t>
        </is>
      </c>
    </row>
    <row r="11">
      <c r="A11" s="22" t="n">
        <v>3</v>
      </c>
      <c r="B11" s="22" t="inlineStr">
        <is>
          <t>MOD-05</t>
        </is>
      </c>
      <c r="C11" s="23" t="inlineStr">
        <is>
          <t>Kalkulasi Laba Rugi Sederhana</t>
        </is>
      </c>
      <c r="D11" s="24" t="n">
        <v>600000</v>
      </c>
      <c r="E11" s="25" t="n">
        <v>0</v>
      </c>
      <c r="F11" s="10">
        <f>D11*E11</f>
        <v/>
      </c>
      <c r="G11" s="23" t="inlineStr">
        <is>
          <t>(Opsional) Omset - HPP - Operasional</t>
        </is>
      </c>
    </row>
    <row r="12">
      <c r="A12" s="22" t="n">
        <v>4</v>
      </c>
      <c r="B12" s="22" t="inlineStr">
        <is>
          <t>AUTH-01</t>
        </is>
      </c>
      <c r="C12" s="23" t="inlineStr">
        <is>
          <t>Autentikasi &amp; Static 3 Role (Owner/Manager/Staff)</t>
        </is>
      </c>
      <c r="D12" s="24" t="n">
        <v>600000</v>
      </c>
      <c r="E12" s="25" t="n">
        <v>1</v>
      </c>
      <c r="F12" s="10">
        <f>D12*E12</f>
        <v/>
      </c>
      <c r="G12" s="23" t="inlineStr">
        <is>
          <t>Hardcoded role security + sembunyikan rekening owner</t>
        </is>
      </c>
    </row>
    <row r="13">
      <c r="A13" s="22" t="n">
        <v>5</v>
      </c>
      <c r="B13" s="22" t="inlineStr">
        <is>
          <t>AUTH-02</t>
        </is>
      </c>
      <c r="C13" s="23" t="inlineStr">
        <is>
          <t>Dynamic Granular RBAC (UI Matrix)</t>
        </is>
      </c>
      <c r="D13" s="24" t="n">
        <v>1000000</v>
      </c>
      <c r="E13" s="25" t="n">
        <v>0</v>
      </c>
      <c r="F13" s="10">
        <f>D13*E13</f>
        <v/>
      </c>
      <c r="G13" s="23" t="inlineStr">
        <is>
          <t>Dinonaktifkan jika memilih Static Role</t>
        </is>
      </c>
    </row>
    <row r="14">
      <c r="A14" s="22" t="n">
        <v>6</v>
      </c>
      <c r="B14" s="22" t="inlineStr">
        <is>
          <t>EXP-02</t>
        </is>
      </c>
      <c r="C14" s="23" t="inlineStr">
        <is>
          <t>Export Data Excel Terformat (.xlsx)</t>
        </is>
      </c>
      <c r="D14" s="24" t="n">
        <v>200000</v>
      </c>
      <c r="E14" s="25" t="n">
        <v>1</v>
      </c>
      <c r="F14" s="10">
        <f>D14*E14</f>
        <v/>
      </c>
      <c r="G14" s="23" t="inlineStr">
        <is>
          <t>Add-on opsional untuk 4 laporan</t>
        </is>
      </c>
    </row>
    <row r="15">
      <c r="A15" s="22" t="n">
        <v>7</v>
      </c>
      <c r="B15" s="22" t="inlineStr">
        <is>
          <t>EXP-03</t>
        </is>
      </c>
      <c r="C15" s="23" t="inlineStr">
        <is>
          <t>Export PDF Siap Cetak (.pdf)</t>
        </is>
      </c>
      <c r="D15" s="24" t="n">
        <v>650000</v>
      </c>
      <c r="E15" s="25" t="n">
        <v>0</v>
      </c>
      <c r="F15" s="10">
        <f>D15*E15</f>
        <v/>
      </c>
      <c r="G15" s="23" t="inlineStr">
        <is>
          <t>Ditiadakan di Versi 1.0 Lean MVP</t>
        </is>
      </c>
    </row>
    <row r="16">
      <c r="A16" s="22" t="n">
        <v>8</v>
      </c>
      <c r="B16" s="22" t="inlineStr">
        <is>
          <t>INT-WA-01</t>
        </is>
      </c>
      <c r="C16" s="23" t="inlineStr">
        <is>
          <t>WhatsApp Gateway API Notifikasi</t>
        </is>
      </c>
      <c r="D16" s="24" t="n">
        <v>900000</v>
      </c>
      <c r="E16" s="25" t="n">
        <v>0</v>
      </c>
      <c r="F16" s="10">
        <f>D16*E16</f>
        <v/>
      </c>
      <c r="G16" s="23" t="inlineStr">
        <is>
          <t>Ditiadakan di Versi 1.0 Lean MVP</t>
        </is>
      </c>
    </row>
    <row r="17">
      <c r="A17" s="22" t="n">
        <v>9</v>
      </c>
      <c r="B17" s="22" t="inlineStr">
        <is>
          <t>SEC-01</t>
        </is>
      </c>
      <c r="C17" s="23" t="inlineStr">
        <is>
          <t>Audit Log &amp; Activity Trail</t>
        </is>
      </c>
      <c r="D17" s="24" t="n">
        <v>1000000</v>
      </c>
      <c r="E17" s="25" t="n">
        <v>0</v>
      </c>
      <c r="F17" s="10">
        <f>D17*E17</f>
        <v/>
      </c>
      <c r="G17" s="23" t="inlineStr">
        <is>
          <t>Ditiadakan di Versi 1.0 Lean MVP</t>
        </is>
      </c>
    </row>
    <row r="18">
      <c r="A18" s="22" t="n">
        <v>10</v>
      </c>
      <c r="B18" s="22" t="inlineStr">
        <is>
          <t>BCK-01</t>
        </is>
      </c>
      <c r="C18" s="23" t="inlineStr">
        <is>
          <t>Tombol Download Backup DB Mandiri (Owner)</t>
        </is>
      </c>
      <c r="D18" s="24" t="n">
        <v>400000</v>
      </c>
      <c r="E18" s="25" t="n">
        <v>0</v>
      </c>
      <c r="F18" s="10">
        <f>D18*E18</f>
        <v/>
      </c>
      <c r="G18" s="23" t="inlineStr">
        <is>
          <t>Fitur bonus mandiri</t>
        </is>
      </c>
    </row>
    <row r="19">
      <c r="A19" s="26" t="inlineStr">
        <is>
          <t>TOTAL SUB-MODUL DASAR</t>
        </is>
      </c>
      <c r="B19" s="27" t="n"/>
      <c r="C19" s="28" t="n"/>
      <c r="D19" s="29" t="n"/>
      <c r="E19" s="29" t="n"/>
      <c r="F19" s="30">
        <f>SUM(F9:F18)</f>
        <v/>
      </c>
      <c r="G19" s="31" t="inlineStr">
        <is>
          <t>Akumulasi seluruh fitur yang dipilih (Qty &gt; 0)</t>
        </is>
      </c>
    </row>
    <row r="20">
      <c r="A20" s="26" t="inlineStr">
        <is>
          <t>KOREKSI BRIEF / RISK BUFFER</t>
        </is>
      </c>
      <c r="B20" s="27" t="n"/>
      <c r="C20" s="28" t="n"/>
      <c r="D20" s="29" t="n"/>
      <c r="E20" s="29" t="n"/>
      <c r="F20" s="30">
        <f>IF(B5="Diskon Brief Matang (-7.5%)", -0.075*F19, IF(B5="Risk Buffer Brief Mentah (+7.5%)", 0.075*F19, 0))</f>
        <v/>
      </c>
      <c r="G20" s="31" t="inlineStr">
        <is>
          <t>Penyesuaian kejelasan spesifikasi</t>
        </is>
      </c>
    </row>
    <row r="21">
      <c r="A21" s="26" t="inlineStr">
        <is>
          <t>RUSH FEE (PERCEPATAN DEADLINE)</t>
        </is>
      </c>
      <c r="B21" s="27" t="n"/>
      <c r="C21" s="28" t="n"/>
      <c r="D21" s="29" t="n"/>
      <c r="E21" s="29" t="n"/>
      <c r="F21" s="30">
        <f>IF(E5="Rush Project (+25%)", 0.25*F19, IF(E5="Super Rush (+50%)", 0.50*F19, 0))</f>
        <v/>
      </c>
      <c r="G21" s="31" t="inlineStr">
        <is>
          <t>Biaya lembur jika deadline dipercepat</t>
        </is>
      </c>
    </row>
    <row r="22">
      <c r="A22" s="32" t="inlineStr">
        <is>
          <t>TOTAL ESTIMASI NILAI PROYEK</t>
        </is>
      </c>
      <c r="B22" s="33" t="n"/>
      <c r="C22" s="34" t="n"/>
      <c r="D22" s="35" t="n"/>
      <c r="E22" s="35" t="n"/>
      <c r="F22" s="36">
        <f>F19+F20+F21</f>
        <v/>
      </c>
      <c r="G22" s="37" t="inlineStr">
        <is>
          <t>Total nilai kontrak penawaran</t>
        </is>
      </c>
    </row>
    <row r="23">
      <c r="A23" s="32" t="inlineStr">
        <is>
          <t>TERMIN 1: UANG MUKA (DP)</t>
        </is>
      </c>
      <c r="B23" s="33" t="n"/>
      <c r="C23" s="34" t="n"/>
      <c r="D23" s="35" t="n"/>
      <c r="E23" s="35" t="n"/>
      <c r="F23" s="38">
        <f>IF(F22&lt;5000000, F22*0.3, F22*0.2)</f>
        <v/>
      </c>
      <c r="G23" s="37" t="inlineStr">
        <is>
          <t>DP 30% jika &lt; Rp 5Jt, DP 20% jika &gt;= Rp 5Jt</t>
        </is>
      </c>
    </row>
    <row r="24">
      <c r="A24" s="32" t="inlineStr">
        <is>
          <t>TERMIN 2: PELUNASAN PASCA UAT</t>
        </is>
      </c>
      <c r="B24" s="33" t="n"/>
      <c r="C24" s="34" t="n"/>
      <c r="D24" s="35" t="n"/>
      <c r="E24" s="35" t="n"/>
      <c r="F24" s="39">
        <f>F22-F23</f>
        <v/>
      </c>
      <c r="G24" s="37" t="inlineStr">
        <is>
          <t>Pelunasan setelah lolos uji UAT &amp; siap Go-Live</t>
        </is>
      </c>
    </row>
  </sheetData>
  <mergeCells count="6">
    <mergeCell ref="A19:C19"/>
    <mergeCell ref="A23:C23"/>
    <mergeCell ref="A22:C22"/>
    <mergeCell ref="A21:C21"/>
    <mergeCell ref="A20:C20"/>
    <mergeCell ref="A24:C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2026-08-14T11:05:54Z</dcterms:created>
  <dcterms:modified xmlns:dcterms="http://purl.org/dc/terms/" xmlns:xsi="http://www.w3.org/2001/XMLSchema-instance" xsi:type="dcterms:W3CDTF">2026-08-14T11:05:55Z</dcterms:modified>
</cp:coreProperties>
</file>